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theof\Documents\Ultimate Excel Personal Budget\1 - Main Template\"/>
    </mc:Choice>
  </mc:AlternateContent>
  <xr:revisionPtr revIDLastSave="0" documentId="8_{D1A2A13A-456A-2047-BD70-7B2A63D8BC5C}" xr6:coauthVersionLast="47" xr6:coauthVersionMax="47" xr10:uidLastSave="{00000000-0000-0000-0000-000000000000}"/>
  <bookViews>
    <workbookView xWindow="-108" yWindow="-108" windowWidth="23256" windowHeight="13176" activeTab="3" xr2:uid="{4BA8CB36-6508-483A-831E-62D14BBD5315}"/>
  </bookViews>
  <sheets>
    <sheet name="Settings" sheetId="1" r:id="rId1"/>
    <sheet name="Budget Planning" sheetId="3" r:id="rId2"/>
    <sheet name="Budget Tracking" sheetId="2" r:id="rId3"/>
    <sheet name="Budget Dashboard" sheetId="4" r:id="rId4"/>
    <sheet name="Calculations" sheetId="5" state="hidden" r:id="rId5"/>
    <sheet name="Dropdown Data" sheetId="6" state="hidden" r:id="rId6"/>
  </sheets>
  <definedNames>
    <definedName name="budget" localSheetId="3">'Budget Dashboard'!$L1</definedName>
    <definedName name="budget_range" localSheetId="3">'Budget Dashboard'!$Q1</definedName>
    <definedName name="budget_rank" localSheetId="3">'Budget Dashboard'!$R1</definedName>
    <definedName name="cc_budget" localSheetId="4">Calculations!$K1</definedName>
    <definedName name="cc_delta" localSheetId="4">Calculations!$L1</definedName>
    <definedName name="cc_in_focus" localSheetId="4">Calculations!$G1</definedName>
    <definedName name="cc_month_number" localSheetId="4">Calculations!$F1</definedName>
    <definedName name="cc_show_remaining_budget" localSheetId="4">Calculations!$I1</definedName>
    <definedName name="cc_show_type" localSheetId="4">Calculations!$H1</definedName>
    <definedName name="cc_tracked" localSheetId="4">Calculations!$J1</definedName>
    <definedName name="cc_type" localSheetId="4">Calculations!$E1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Planning'!$C$58)</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avings_header_row">ROW(Savings[[#Headers],[Savings]])</definedName>
    <definedName name="savings_max_row">MAX(ROW(Savings[]))</definedName>
    <definedName name="savings_min_row">MIN(ROW(Savings[]))</definedName>
    <definedName name="savings_rate_calculation_type">Settings!$E$22</definedName>
    <definedName name="savings_total_row">ROW('Budget Planning'!$C$71)</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Settings!$E$16</definedName>
    <definedName name="sort_max_row" localSheetId="3">'Budget Dashboard'!$N1</definedName>
    <definedName name="sort_min_row" localSheetId="3">'Budget Dashboard'!$M1</definedName>
    <definedName name="starting_year">Settings!$E$8</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 l="1" a="1"/>
  <c r="C13" i="4"/>
  <c r="C14" i="4" a="1"/>
  <c r="C14" i="4"/>
  <c r="C15" i="4" a="1"/>
  <c r="C15" i="4"/>
  <c r="E15" i="4" a="1"/>
  <c r="E15" i="4"/>
  <c r="G15" i="4" a="1"/>
  <c r="G15" i="4"/>
  <c r="H15" i="4"/>
  <c r="F15" i="4"/>
  <c r="S15" i="4"/>
  <c r="C16" i="4" a="1"/>
  <c r="C16" i="4"/>
  <c r="E16" i="4" a="1"/>
  <c r="E16" i="4"/>
  <c r="G16" i="4" a="1"/>
  <c r="G16" i="4"/>
  <c r="H16" i="4"/>
  <c r="F16" i="4"/>
  <c r="S16" i="4"/>
  <c r="C17" i="4" a="1"/>
  <c r="C17" i="4"/>
  <c r="E17" i="4" a="1"/>
  <c r="E17" i="4"/>
  <c r="G17" i="4" a="1"/>
  <c r="G17" i="4"/>
  <c r="H17" i="4"/>
  <c r="F17" i="4"/>
  <c r="S17" i="4"/>
  <c r="C18" i="4" a="1"/>
  <c r="C18" i="4"/>
  <c r="C19" i="4" a="1"/>
  <c r="C19" i="4"/>
  <c r="E19" i="4" a="1"/>
  <c r="E19" i="4"/>
  <c r="G19" i="4" a="1"/>
  <c r="G19" i="4"/>
  <c r="H19" i="4"/>
  <c r="F19" i="4"/>
  <c r="S19" i="4"/>
  <c r="C20" i="4" a="1"/>
  <c r="C20" i="4"/>
  <c r="E20" i="4" a="1"/>
  <c r="E20" i="4"/>
  <c r="G20" i="4" a="1"/>
  <c r="G20" i="4"/>
  <c r="H20" i="4"/>
  <c r="F20" i="4"/>
  <c r="S20" i="4"/>
  <c r="C21" i="4" a="1"/>
  <c r="C21" i="4"/>
  <c r="E21" i="4" a="1"/>
  <c r="E21" i="4"/>
  <c r="G21" i="4" a="1"/>
  <c r="G21" i="4"/>
  <c r="H21" i="4"/>
  <c r="F21" i="4"/>
  <c r="S21" i="4"/>
  <c r="C22" i="4" a="1"/>
  <c r="C22" i="4"/>
  <c r="C23" i="4" a="1"/>
  <c r="C23" i="4"/>
  <c r="E23" i="4" a="1"/>
  <c r="E23" i="4"/>
  <c r="G23" i="4" a="1"/>
  <c r="G23" i="4"/>
  <c r="H23" i="4"/>
  <c r="F23" i="4"/>
  <c r="S23" i="4"/>
  <c r="C24" i="4" a="1"/>
  <c r="C24" i="4"/>
  <c r="E24" i="4" a="1"/>
  <c r="E24" i="4"/>
  <c r="G24" i="4" a="1"/>
  <c r="G24" i="4"/>
  <c r="H24" i="4"/>
  <c r="F24" i="4"/>
  <c r="S24" i="4"/>
  <c r="C25" i="4" a="1"/>
  <c r="C25" i="4"/>
  <c r="E25" i="4" a="1"/>
  <c r="E25" i="4"/>
  <c r="G25" i="4" a="1"/>
  <c r="G25" i="4"/>
  <c r="H25" i="4"/>
  <c r="F25" i="4"/>
  <c r="S25" i="4"/>
  <c r="C26" i="4" a="1"/>
  <c r="C26" i="4"/>
  <c r="E26" i="4" a="1"/>
  <c r="E26" i="4"/>
  <c r="G26" i="4" a="1"/>
  <c r="G26" i="4"/>
  <c r="H26" i="4"/>
  <c r="F26" i="4"/>
  <c r="S26" i="4"/>
  <c r="C27" i="4" a="1"/>
  <c r="C27" i="4"/>
  <c r="E27" i="4" a="1"/>
  <c r="E27" i="4"/>
  <c r="G27" i="4" a="1"/>
  <c r="G27" i="4"/>
  <c r="H27" i="4"/>
  <c r="F27" i="4"/>
  <c r="S27" i="4"/>
  <c r="C28" i="4" a="1"/>
  <c r="C28" i="4"/>
  <c r="E28" i="4" a="1"/>
  <c r="E28" i="4"/>
  <c r="G28" i="4" a="1"/>
  <c r="G28" i="4"/>
  <c r="H28" i="4"/>
  <c r="F28" i="4"/>
  <c r="S28" i="4"/>
  <c r="C29" i="4" a="1"/>
  <c r="C29" i="4"/>
  <c r="E29" i="4" a="1"/>
  <c r="E29" i="4"/>
  <c r="G29" i="4" a="1"/>
  <c r="G29" i="4"/>
  <c r="H29" i="4"/>
  <c r="F29" i="4"/>
  <c r="S29" i="4"/>
  <c r="C30" i="4" a="1"/>
  <c r="C30" i="4"/>
  <c r="E30" i="4" a="1"/>
  <c r="E30" i="4"/>
  <c r="G30" i="4" a="1"/>
  <c r="G30" i="4"/>
  <c r="H30" i="4"/>
  <c r="F30" i="4"/>
  <c r="S30" i="4"/>
  <c r="C31" i="4" a="1"/>
  <c r="C31" i="4"/>
  <c r="E31" i="4" a="1"/>
  <c r="E31" i="4"/>
  <c r="G31" i="4" a="1"/>
  <c r="G31" i="4"/>
  <c r="H31" i="4"/>
  <c r="F31" i="4"/>
  <c r="S31" i="4"/>
  <c r="C32" i="4" a="1"/>
  <c r="C32" i="4"/>
  <c r="E32" i="4" a="1"/>
  <c r="E32" i="4"/>
  <c r="G32" i="4" a="1"/>
  <c r="G32" i="4"/>
  <c r="H32" i="4"/>
  <c r="F32" i="4"/>
  <c r="S32" i="4"/>
  <c r="C33" i="4" a="1"/>
  <c r="C33" i="4"/>
  <c r="E33" i="4" a="1"/>
  <c r="E33" i="4"/>
  <c r="G33" i="4" a="1"/>
  <c r="G33" i="4"/>
  <c r="H33" i="4"/>
  <c r="F33" i="4"/>
  <c r="S33" i="4"/>
  <c r="C34" i="4" a="1"/>
  <c r="C34" i="4"/>
  <c r="E34" i="4" a="1"/>
  <c r="E34" i="4"/>
  <c r="G34" i="4" a="1"/>
  <c r="G34" i="4"/>
  <c r="H34" i="4"/>
  <c r="F34" i="4"/>
  <c r="S34" i="4"/>
  <c r="C35" i="4" a="1"/>
  <c r="C35" i="4"/>
  <c r="E35" i="4" a="1"/>
  <c r="E35" i="4"/>
  <c r="G35" i="4" a="1"/>
  <c r="G35" i="4"/>
  <c r="H35" i="4"/>
  <c r="F35" i="4"/>
  <c r="S35" i="4"/>
  <c r="C36" i="4" a="1"/>
  <c r="C36" i="4"/>
  <c r="E36" i="4" a="1"/>
  <c r="E36" i="4"/>
  <c r="G36" i="4" a="1"/>
  <c r="G36" i="4"/>
  <c r="H36" i="4"/>
  <c r="F36" i="4"/>
  <c r="S36" i="4"/>
  <c r="C37" i="4" a="1"/>
  <c r="C37" i="4"/>
  <c r="E37" i="4" a="1"/>
  <c r="E37" i="4"/>
  <c r="G37" i="4" a="1"/>
  <c r="G37" i="4"/>
  <c r="H37" i="4"/>
  <c r="F37" i="4"/>
  <c r="S37" i="4"/>
  <c r="C38" i="4" a="1"/>
  <c r="C38" i="4"/>
  <c r="E38" i="4" a="1"/>
  <c r="E38" i="4"/>
  <c r="G38" i="4" a="1"/>
  <c r="G38" i="4"/>
  <c r="H38" i="4"/>
  <c r="F38" i="4"/>
  <c r="S38" i="4"/>
  <c r="C39" i="4" a="1"/>
  <c r="C39" i="4"/>
  <c r="E39" i="4" a="1"/>
  <c r="E39" i="4"/>
  <c r="G39" i="4" a="1"/>
  <c r="G39" i="4"/>
  <c r="H39" i="4"/>
  <c r="F39" i="4"/>
  <c r="S39" i="4"/>
  <c r="C40" i="4" a="1"/>
  <c r="C40" i="4"/>
  <c r="E40" i="4" a="1"/>
  <c r="E40" i="4"/>
  <c r="G40" i="4" a="1"/>
  <c r="G40" i="4"/>
  <c r="H40" i="4"/>
  <c r="F40" i="4"/>
  <c r="S40" i="4"/>
  <c r="C41" i="4" a="1"/>
  <c r="C41" i="4"/>
  <c r="E41" i="4" a="1"/>
  <c r="E41" i="4"/>
  <c r="G41" i="4" a="1"/>
  <c r="G41" i="4"/>
  <c r="H41" i="4"/>
  <c r="F41" i="4"/>
  <c r="S41" i="4"/>
  <c r="C42" i="4" a="1"/>
  <c r="C42" i="4"/>
  <c r="E42" i="4" a="1"/>
  <c r="E42" i="4"/>
  <c r="G42" i="4" a="1"/>
  <c r="G42" i="4"/>
  <c r="H42" i="4"/>
  <c r="F42" i="4"/>
  <c r="S42" i="4"/>
  <c r="C43" i="4" a="1"/>
  <c r="C43" i="4"/>
  <c r="E43" i="4" a="1"/>
  <c r="E43" i="4"/>
  <c r="G43" i="4" a="1"/>
  <c r="G43" i="4"/>
  <c r="H43" i="4"/>
  <c r="F43" i="4"/>
  <c r="S43" i="4"/>
  <c r="C44" i="4" a="1"/>
  <c r="C44" i="4"/>
  <c r="E44" i="4" a="1"/>
  <c r="E44" i="4"/>
  <c r="G44" i="4" a="1"/>
  <c r="G44" i="4"/>
  <c r="H44" i="4"/>
  <c r="F44" i="4"/>
  <c r="S44" i="4"/>
  <c r="C45" i="4" a="1"/>
  <c r="C45" i="4"/>
  <c r="E45" i="4" a="1"/>
  <c r="E45" i="4"/>
  <c r="G45" i="4" a="1"/>
  <c r="G45" i="4"/>
  <c r="H45" i="4"/>
  <c r="F45" i="4"/>
  <c r="S45" i="4"/>
  <c r="C46" i="4" a="1"/>
  <c r="C46" i="4"/>
  <c r="E46" i="4" a="1"/>
  <c r="E46" i="4"/>
  <c r="G46" i="4" a="1"/>
  <c r="G46" i="4"/>
  <c r="H46" i="4"/>
  <c r="F46" i="4"/>
  <c r="S46" i="4"/>
  <c r="C47" i="4" a="1"/>
  <c r="C47" i="4"/>
  <c r="E47" i="4" a="1"/>
  <c r="E47" i="4"/>
  <c r="G47" i="4" a="1"/>
  <c r="G47" i="4"/>
  <c r="H47" i="4"/>
  <c r="F47" i="4"/>
  <c r="S47" i="4"/>
  <c r="C48" i="4" a="1"/>
  <c r="C48" i="4"/>
  <c r="E48" i="4" a="1"/>
  <c r="E48" i="4"/>
  <c r="G48" i="4" a="1"/>
  <c r="G48" i="4"/>
  <c r="H48" i="4"/>
  <c r="F48" i="4"/>
  <c r="S48" i="4"/>
  <c r="C49" i="4" a="1"/>
  <c r="C49" i="4"/>
  <c r="E49" i="4" a="1"/>
  <c r="E49" i="4"/>
  <c r="G49" i="4" a="1"/>
  <c r="G49" i="4"/>
  <c r="H49" i="4"/>
  <c r="F49" i="4"/>
  <c r="S49" i="4"/>
  <c r="C50" i="4" a="1"/>
  <c r="C50" i="4"/>
  <c r="E50" i="4" a="1"/>
  <c r="E50" i="4"/>
  <c r="G50" i="4" a="1"/>
  <c r="G50" i="4"/>
  <c r="H50" i="4"/>
  <c r="F50" i="4"/>
  <c r="S50" i="4"/>
  <c r="C51" i="4" a="1"/>
  <c r="C51" i="4"/>
  <c r="E51" i="4" a="1"/>
  <c r="E51" i="4"/>
  <c r="G51" i="4" a="1"/>
  <c r="G51" i="4"/>
  <c r="H51" i="4"/>
  <c r="F51" i="4"/>
  <c r="S51" i="4"/>
  <c r="C52" i="4" a="1"/>
  <c r="C52" i="4"/>
  <c r="E52" i="4" a="1"/>
  <c r="E52" i="4"/>
  <c r="G52" i="4" a="1"/>
  <c r="G52" i="4"/>
  <c r="H52" i="4"/>
  <c r="F52" i="4"/>
  <c r="S52" i="4"/>
  <c r="C53" i="4" a="1"/>
  <c r="C53" i="4"/>
  <c r="E53" i="4" a="1"/>
  <c r="E53" i="4"/>
  <c r="G53" i="4" a="1"/>
  <c r="G53" i="4"/>
  <c r="H53" i="4"/>
  <c r="F53" i="4"/>
  <c r="S53" i="4"/>
  <c r="C54" i="4" a="1"/>
  <c r="C54" i="4"/>
  <c r="E54" i="4" a="1"/>
  <c r="E54" i="4"/>
  <c r="G54" i="4" a="1"/>
  <c r="G54" i="4"/>
  <c r="H54" i="4"/>
  <c r="F54" i="4"/>
  <c r="S54" i="4"/>
  <c r="C55" i="4" a="1"/>
  <c r="C55" i="4"/>
  <c r="E55" i="4" a="1"/>
  <c r="E55" i="4"/>
  <c r="G55" i="4" a="1"/>
  <c r="G55" i="4"/>
  <c r="H55" i="4"/>
  <c r="F55" i="4"/>
  <c r="S55" i="4"/>
  <c r="C56" i="4" a="1"/>
  <c r="C56" i="4"/>
  <c r="E56" i="4" a="1"/>
  <c r="E56" i="4"/>
  <c r="G56" i="4" a="1"/>
  <c r="G56" i="4"/>
  <c r="H56" i="4"/>
  <c r="F56" i="4"/>
  <c r="S56" i="4"/>
  <c r="C57" i="4" a="1"/>
  <c r="C57" i="4"/>
  <c r="E57" i="4" a="1"/>
  <c r="E57" i="4"/>
  <c r="G57" i="4" a="1"/>
  <c r="G57" i="4"/>
  <c r="H57" i="4"/>
  <c r="F57" i="4"/>
  <c r="S57" i="4"/>
  <c r="C58" i="4" a="1"/>
  <c r="C58" i="4"/>
  <c r="E58" i="4" a="1"/>
  <c r="E58" i="4"/>
  <c r="G58" i="4" a="1"/>
  <c r="G58" i="4"/>
  <c r="H58" i="4"/>
  <c r="F58" i="4"/>
  <c r="S58" i="4"/>
  <c r="C59" i="4" a="1"/>
  <c r="C59" i="4"/>
  <c r="E59" i="4" a="1"/>
  <c r="E59" i="4"/>
  <c r="G59" i="4" a="1"/>
  <c r="G59" i="4"/>
  <c r="H59" i="4"/>
  <c r="F59" i="4"/>
  <c r="S59" i="4"/>
  <c r="C60" i="4" a="1"/>
  <c r="C60" i="4"/>
  <c r="E60" i="4" a="1"/>
  <c r="E60" i="4"/>
  <c r="G60" i="4" a="1"/>
  <c r="G60" i="4"/>
  <c r="H60" i="4"/>
  <c r="F60" i="4"/>
  <c r="S60" i="4"/>
  <c r="C61" i="4" a="1"/>
  <c r="C61" i="4"/>
  <c r="E61" i="4" a="1"/>
  <c r="E61" i="4"/>
  <c r="G61" i="4" a="1"/>
  <c r="G61" i="4"/>
  <c r="H61" i="4"/>
  <c r="F61" i="4"/>
  <c r="S61" i="4"/>
  <c r="C62" i="4" a="1"/>
  <c r="C62" i="4"/>
  <c r="E62" i="4" a="1"/>
  <c r="E62" i="4"/>
  <c r="G62" i="4" a="1"/>
  <c r="G62" i="4"/>
  <c r="H62" i="4"/>
  <c r="F62" i="4"/>
  <c r="S62" i="4"/>
  <c r="C63" i="4" a="1"/>
  <c r="C63" i="4"/>
  <c r="E63" i="4" a="1"/>
  <c r="E63" i="4"/>
  <c r="G63" i="4" a="1"/>
  <c r="G63" i="4"/>
  <c r="H63" i="4"/>
  <c r="F63" i="4"/>
  <c r="S63" i="4"/>
  <c r="C64" i="4" a="1"/>
  <c r="C64" i="4"/>
  <c r="E64" i="4" a="1"/>
  <c r="E64" i="4"/>
  <c r="G64" i="4" a="1"/>
  <c r="G64" i="4"/>
  <c r="H64" i="4"/>
  <c r="F64" i="4"/>
  <c r="S64" i="4"/>
  <c r="C65" i="4" a="1"/>
  <c r="C65" i="4"/>
  <c r="E65" i="4" a="1"/>
  <c r="E65" i="4"/>
  <c r="G65" i="4" a="1"/>
  <c r="G65" i="4"/>
  <c r="H65" i="4"/>
  <c r="F65" i="4"/>
  <c r="S65" i="4"/>
  <c r="C66" i="4" a="1"/>
  <c r="C66" i="4"/>
  <c r="E66" i="4" a="1"/>
  <c r="E66" i="4"/>
  <c r="G66" i="4" a="1"/>
  <c r="G66" i="4"/>
  <c r="H66" i="4"/>
  <c r="F66" i="4"/>
  <c r="S66" i="4"/>
  <c r="C67" i="4" a="1"/>
  <c r="C67" i="4"/>
  <c r="E67" i="4" a="1"/>
  <c r="E67" i="4"/>
  <c r="G67" i="4" a="1"/>
  <c r="G67" i="4"/>
  <c r="H67" i="4"/>
  <c r="F67" i="4"/>
  <c r="S67" i="4"/>
  <c r="C68" i="4" a="1"/>
  <c r="C68" i="4"/>
  <c r="E68" i="4" a="1"/>
  <c r="E68" i="4"/>
  <c r="G68" i="4" a="1"/>
  <c r="G68" i="4"/>
  <c r="H68" i="4"/>
  <c r="F68" i="4"/>
  <c r="S68" i="4"/>
  <c r="C69" i="4" a="1"/>
  <c r="C69" i="4"/>
  <c r="E69" i="4" a="1"/>
  <c r="E69" i="4"/>
  <c r="G69" i="4" a="1"/>
  <c r="G69" i="4"/>
  <c r="H69" i="4"/>
  <c r="F69" i="4"/>
  <c r="S69" i="4"/>
  <c r="C70" i="4" a="1"/>
  <c r="C70" i="4"/>
  <c r="E70" i="4" a="1"/>
  <c r="E70" i="4"/>
  <c r="G70" i="4" a="1"/>
  <c r="G70" i="4"/>
  <c r="H70" i="4"/>
  <c r="F70" i="4"/>
  <c r="S70" i="4"/>
  <c r="C71" i="4" a="1"/>
  <c r="C71" i="4"/>
  <c r="E71" i="4" a="1"/>
  <c r="E71" i="4"/>
  <c r="G71" i="4" a="1"/>
  <c r="G71" i="4"/>
  <c r="H71" i="4"/>
  <c r="F71" i="4"/>
  <c r="S71" i="4"/>
  <c r="C72" i="4" a="1"/>
  <c r="C72" i="4"/>
  <c r="E72" i="4" a="1"/>
  <c r="E72" i="4"/>
  <c r="G72" i="4" a="1"/>
  <c r="G72" i="4"/>
  <c r="H72" i="4"/>
  <c r="F72" i="4"/>
  <c r="S72" i="4"/>
  <c r="C73" i="4" a="1"/>
  <c r="C73" i="4"/>
  <c r="E73" i="4" a="1"/>
  <c r="E73" i="4"/>
  <c r="G73" i="4" a="1"/>
  <c r="G73" i="4"/>
  <c r="H73" i="4"/>
  <c r="F73" i="4"/>
  <c r="S73" i="4"/>
  <c r="C74" i="4" a="1"/>
  <c r="C74" i="4"/>
  <c r="E74" i="4" a="1"/>
  <c r="E74" i="4"/>
  <c r="G74" i="4" a="1"/>
  <c r="G74" i="4"/>
  <c r="H74" i="4"/>
  <c r="F74" i="4"/>
  <c r="S74" i="4"/>
  <c r="C75" i="4" a="1"/>
  <c r="C75" i="4"/>
  <c r="E75" i="4" a="1"/>
  <c r="E75" i="4"/>
  <c r="G75" i="4" a="1"/>
  <c r="G75" i="4"/>
  <c r="H75" i="4"/>
  <c r="F75" i="4"/>
  <c r="S75" i="4"/>
  <c r="C76" i="4" a="1"/>
  <c r="C76" i="4"/>
  <c r="E76" i="4" a="1"/>
  <c r="E76" i="4"/>
  <c r="G76" i="4" a="1"/>
  <c r="G76" i="4"/>
  <c r="H76" i="4"/>
  <c r="F76" i="4"/>
  <c r="S76" i="4"/>
  <c r="C77" i="4" a="1"/>
  <c r="C77" i="4"/>
  <c r="E77" i="4" a="1"/>
  <c r="E77" i="4"/>
  <c r="G77" i="4" a="1"/>
  <c r="G77" i="4"/>
  <c r="H77" i="4"/>
  <c r="F77" i="4"/>
  <c r="S77" i="4"/>
  <c r="C78" i="4" a="1"/>
  <c r="C78" i="4"/>
  <c r="E78" i="4" a="1"/>
  <c r="E78" i="4"/>
  <c r="G78" i="4" a="1"/>
  <c r="G78" i="4"/>
  <c r="H78" i="4"/>
  <c r="F78" i="4"/>
  <c r="S78" i="4"/>
  <c r="C79" i="4" a="1"/>
  <c r="C79" i="4"/>
  <c r="E79" i="4" a="1"/>
  <c r="E79" i="4"/>
  <c r="G79" i="4" a="1"/>
  <c r="G79" i="4"/>
  <c r="H79" i="4"/>
  <c r="F79" i="4"/>
  <c r="S79" i="4"/>
  <c r="C80" i="4" a="1"/>
  <c r="C80" i="4"/>
  <c r="E80" i="4" a="1"/>
  <c r="E80" i="4"/>
  <c r="G80" i="4" a="1"/>
  <c r="G80" i="4"/>
  <c r="H80" i="4"/>
  <c r="F80" i="4"/>
  <c r="S80" i="4"/>
  <c r="C81" i="4" a="1"/>
  <c r="C81" i="4"/>
  <c r="E81" i="4" a="1"/>
  <c r="E81" i="4"/>
  <c r="G81" i="4" a="1"/>
  <c r="G81" i="4"/>
  <c r="H81" i="4"/>
  <c r="F81" i="4"/>
  <c r="S81" i="4"/>
  <c r="C82" i="4" a="1"/>
  <c r="C82" i="4"/>
  <c r="E82" i="4" a="1"/>
  <c r="E82" i="4"/>
  <c r="G82" i="4" a="1"/>
  <c r="G82" i="4"/>
  <c r="H82" i="4"/>
  <c r="F82" i="4"/>
  <c r="S82" i="4"/>
  <c r="C83" i="4" a="1"/>
  <c r="C83" i="4"/>
  <c r="E83" i="4" a="1"/>
  <c r="E83" i="4"/>
  <c r="G83" i="4" a="1"/>
  <c r="G83" i="4"/>
  <c r="H83" i="4"/>
  <c r="F83" i="4"/>
  <c r="S83" i="4"/>
  <c r="C84" i="4" a="1"/>
  <c r="C84" i="4"/>
  <c r="E84" i="4" a="1"/>
  <c r="E84" i="4"/>
  <c r="G84" i="4" a="1"/>
  <c r="G84" i="4"/>
  <c r="H84" i="4"/>
  <c r="F84" i="4"/>
  <c r="S84" i="4"/>
  <c r="C85" i="4" a="1"/>
  <c r="C85" i="4"/>
  <c r="E85" i="4" a="1"/>
  <c r="E85" i="4"/>
  <c r="G85" i="4" a="1"/>
  <c r="G85" i="4"/>
  <c r="H85" i="4"/>
  <c r="F85" i="4"/>
  <c r="S85" i="4"/>
  <c r="C86" i="4" a="1"/>
  <c r="C86" i="4"/>
  <c r="E86" i="4" a="1"/>
  <c r="E86" i="4"/>
  <c r="G86" i="4" a="1"/>
  <c r="G86" i="4"/>
  <c r="H86" i="4"/>
  <c r="F86" i="4"/>
  <c r="S86" i="4"/>
  <c r="C87" i="4" a="1"/>
  <c r="C87" i="4"/>
  <c r="E87" i="4" a="1"/>
  <c r="E87" i="4"/>
  <c r="G87" i="4" a="1"/>
  <c r="G87" i="4"/>
  <c r="H87" i="4"/>
  <c r="F87" i="4"/>
  <c r="S87" i="4"/>
  <c r="C88" i="4" a="1"/>
  <c r="C88" i="4"/>
  <c r="E88" i="4" a="1"/>
  <c r="E88" i="4"/>
  <c r="G88" i="4" a="1"/>
  <c r="G88" i="4"/>
  <c r="H88" i="4"/>
  <c r="F88" i="4"/>
  <c r="S88" i="4"/>
  <c r="C89" i="4" a="1"/>
  <c r="C89" i="4"/>
  <c r="E89" i="4" a="1"/>
  <c r="E89" i="4"/>
  <c r="G89" i="4" a="1"/>
  <c r="G89" i="4"/>
  <c r="H89" i="4"/>
  <c r="F89" i="4"/>
  <c r="S89" i="4"/>
  <c r="C90" i="4" a="1"/>
  <c r="C90" i="4"/>
  <c r="E90" i="4" a="1"/>
  <c r="E90" i="4"/>
  <c r="G90" i="4" a="1"/>
  <c r="G90" i="4"/>
  <c r="H90" i="4"/>
  <c r="F90" i="4"/>
  <c r="S90" i="4"/>
  <c r="C91" i="4" a="1"/>
  <c r="C91" i="4"/>
  <c r="E91" i="4" a="1"/>
  <c r="E91" i="4"/>
  <c r="G91" i="4" a="1"/>
  <c r="G91" i="4"/>
  <c r="H91" i="4"/>
  <c r="F91" i="4"/>
  <c r="S91" i="4"/>
  <c r="C92" i="4" a="1"/>
  <c r="C92" i="4"/>
  <c r="E92" i="4" a="1"/>
  <c r="E92" i="4"/>
  <c r="G92" i="4" a="1"/>
  <c r="G92" i="4"/>
  <c r="H92" i="4"/>
  <c r="F92" i="4"/>
  <c r="S92" i="4"/>
  <c r="C93" i="4" a="1"/>
  <c r="C93" i="4"/>
  <c r="E93" i="4" a="1"/>
  <c r="E93" i="4"/>
  <c r="G93" i="4" a="1"/>
  <c r="G93" i="4"/>
  <c r="H93" i="4"/>
  <c r="F93" i="4"/>
  <c r="S93" i="4"/>
  <c r="C94" i="4" a="1"/>
  <c r="C94" i="4"/>
  <c r="E94" i="4" a="1"/>
  <c r="E94" i="4"/>
  <c r="G94" i="4" a="1"/>
  <c r="G94" i="4"/>
  <c r="H94" i="4"/>
  <c r="F94" i="4"/>
  <c r="S94" i="4"/>
  <c r="C95" i="4" a="1"/>
  <c r="C95" i="4"/>
  <c r="E95" i="4" a="1"/>
  <c r="E95" i="4"/>
  <c r="G95" i="4" a="1"/>
  <c r="G95" i="4"/>
  <c r="H95" i="4"/>
  <c r="F95" i="4"/>
  <c r="S95" i="4"/>
  <c r="C96" i="4" a="1"/>
  <c r="C96" i="4"/>
  <c r="E96" i="4" a="1"/>
  <c r="E96" i="4"/>
  <c r="G96" i="4" a="1"/>
  <c r="G96" i="4"/>
  <c r="H96" i="4"/>
  <c r="F96" i="4"/>
  <c r="S96" i="4"/>
  <c r="C97" i="4" a="1"/>
  <c r="C97" i="4"/>
  <c r="E97" i="4" a="1"/>
  <c r="E97" i="4"/>
  <c r="G97" i="4" a="1"/>
  <c r="G97" i="4"/>
  <c r="H97" i="4"/>
  <c r="F97" i="4"/>
  <c r="S97" i="4"/>
  <c r="C98" i="4" a="1"/>
  <c r="C98" i="4"/>
  <c r="E98" i="4" a="1"/>
  <c r="E98" i="4"/>
  <c r="G98" i="4" a="1"/>
  <c r="G98" i="4"/>
  <c r="H98" i="4"/>
  <c r="F98" i="4"/>
  <c r="S98" i="4"/>
  <c r="C99" i="4" a="1"/>
  <c r="C99" i="4"/>
  <c r="E99" i="4" a="1"/>
  <c r="E99" i="4"/>
  <c r="G99" i="4" a="1"/>
  <c r="G99" i="4"/>
  <c r="H99" i="4"/>
  <c r="F99" i="4"/>
  <c r="S99" i="4"/>
  <c r="C100" i="4" a="1"/>
  <c r="C100" i="4"/>
  <c r="E100" i="4" a="1"/>
  <c r="E100" i="4"/>
  <c r="G100" i="4" a="1"/>
  <c r="G100" i="4"/>
  <c r="H100" i="4"/>
  <c r="F100" i="4"/>
  <c r="S100" i="4"/>
  <c r="C101" i="4" a="1"/>
  <c r="C101" i="4"/>
  <c r="E101" i="4" a="1"/>
  <c r="E101" i="4"/>
  <c r="G101" i="4" a="1"/>
  <c r="G101" i="4"/>
  <c r="H101" i="4"/>
  <c r="F101" i="4"/>
  <c r="S101" i="4"/>
  <c r="C102" i="4" a="1"/>
  <c r="C102" i="4"/>
  <c r="E102" i="4" a="1"/>
  <c r="E102" i="4"/>
  <c r="G102" i="4" a="1"/>
  <c r="G102" i="4"/>
  <c r="H102" i="4"/>
  <c r="F102" i="4"/>
  <c r="S102" i="4"/>
  <c r="C103" i="4" a="1"/>
  <c r="C103" i="4"/>
  <c r="E103" i="4" a="1"/>
  <c r="E103" i="4"/>
  <c r="G103" i="4" a="1"/>
  <c r="G103" i="4"/>
  <c r="H103" i="4"/>
  <c r="F103" i="4"/>
  <c r="S103" i="4"/>
  <c r="C104" i="4" a="1"/>
  <c r="C104" i="4"/>
  <c r="E104" i="4" a="1"/>
  <c r="E104" i="4"/>
  <c r="G104" i="4" a="1"/>
  <c r="G104" i="4"/>
  <c r="H104" i="4"/>
  <c r="F104" i="4"/>
  <c r="S104" i="4"/>
  <c r="C105" i="4" a="1"/>
  <c r="C105" i="4"/>
  <c r="E105" i="4" a="1"/>
  <c r="E105" i="4"/>
  <c r="G105" i="4" a="1"/>
  <c r="G105" i="4"/>
  <c r="H105" i="4"/>
  <c r="F105" i="4"/>
  <c r="S105" i="4"/>
  <c r="C106" i="4" a="1"/>
  <c r="C106" i="4"/>
  <c r="E106" i="4" a="1"/>
  <c r="E106" i="4"/>
  <c r="G106" i="4" a="1"/>
  <c r="G106" i="4"/>
  <c r="H106" i="4"/>
  <c r="F106" i="4"/>
  <c r="S106" i="4"/>
  <c r="C107" i="4" a="1"/>
  <c r="C107" i="4"/>
  <c r="E107" i="4" a="1"/>
  <c r="E107" i="4"/>
  <c r="G107" i="4" a="1"/>
  <c r="G107" i="4"/>
  <c r="H107" i="4"/>
  <c r="F107" i="4"/>
  <c r="S107" i="4"/>
  <c r="C108" i="4" a="1"/>
  <c r="C108" i="4"/>
  <c r="E108" i="4" a="1"/>
  <c r="E108" i="4"/>
  <c r="G108" i="4" a="1"/>
  <c r="G108" i="4"/>
  <c r="H108" i="4"/>
  <c r="F108" i="4"/>
  <c r="S108" i="4"/>
  <c r="C109" i="4" a="1"/>
  <c r="C109" i="4"/>
  <c r="E109" i="4" a="1"/>
  <c r="E109" i="4"/>
  <c r="G109" i="4" a="1"/>
  <c r="G109" i="4"/>
  <c r="H109" i="4"/>
  <c r="F109" i="4"/>
  <c r="S109" i="4"/>
  <c r="C110" i="4" a="1"/>
  <c r="C110" i="4"/>
  <c r="E110" i="4" a="1"/>
  <c r="E110" i="4"/>
  <c r="G110" i="4" a="1"/>
  <c r="G110" i="4"/>
  <c r="H110" i="4"/>
  <c r="F110" i="4"/>
  <c r="S110" i="4"/>
  <c r="C111" i="4" a="1"/>
  <c r="C111" i="4"/>
  <c r="E111" i="4" a="1"/>
  <c r="E111" i="4"/>
  <c r="G111" i="4" a="1"/>
  <c r="G111" i="4"/>
  <c r="H111" i="4"/>
  <c r="F111" i="4"/>
  <c r="S111" i="4"/>
  <c r="C112" i="4" a="1"/>
  <c r="C112" i="4"/>
  <c r="E112" i="4" a="1"/>
  <c r="E112" i="4"/>
  <c r="G112" i="4" a="1"/>
  <c r="G112" i="4"/>
  <c r="H112" i="4"/>
  <c r="F112" i="4"/>
  <c r="S112" i="4"/>
  <c r="C113" i="4" a="1"/>
  <c r="C113" i="4"/>
  <c r="E113" i="4" a="1"/>
  <c r="E113" i="4"/>
  <c r="G113" i="4" a="1"/>
  <c r="G113" i="4"/>
  <c r="H113" i="4"/>
  <c r="F113" i="4"/>
  <c r="S113" i="4"/>
  <c r="C114" i="4" a="1"/>
  <c r="C114" i="4"/>
  <c r="E114" i="4" a="1"/>
  <c r="E114" i="4"/>
  <c r="G114" i="4" a="1"/>
  <c r="G114" i="4"/>
  <c r="H114" i="4"/>
  <c r="F114" i="4"/>
  <c r="S114" i="4"/>
  <c r="C115" i="4" a="1"/>
  <c r="C115" i="4"/>
  <c r="E115" i="4" a="1"/>
  <c r="E115" i="4"/>
  <c r="G115" i="4" a="1"/>
  <c r="G115" i="4"/>
  <c r="H115" i="4"/>
  <c r="F115" i="4"/>
  <c r="S115" i="4"/>
  <c r="C116" i="4" a="1"/>
  <c r="C116" i="4"/>
  <c r="E116" i="4" a="1"/>
  <c r="E116" i="4"/>
  <c r="G116" i="4" a="1"/>
  <c r="G116" i="4"/>
  <c r="H116" i="4"/>
  <c r="F116" i="4"/>
  <c r="S116" i="4"/>
  <c r="C117" i="4" a="1"/>
  <c r="C117" i="4"/>
  <c r="E117" i="4" a="1"/>
  <c r="E117" i="4"/>
  <c r="G117" i="4" a="1"/>
  <c r="G117" i="4"/>
  <c r="H117" i="4"/>
  <c r="F117" i="4"/>
  <c r="S117" i="4"/>
  <c r="C118" i="4" a="1"/>
  <c r="C118" i="4"/>
  <c r="E118" i="4" a="1"/>
  <c r="E118" i="4"/>
  <c r="G118" i="4" a="1"/>
  <c r="G118" i="4"/>
  <c r="H118" i="4"/>
  <c r="F118" i="4"/>
  <c r="S118" i="4"/>
  <c r="C119" i="4" a="1"/>
  <c r="C119" i="4"/>
  <c r="E119" i="4" a="1"/>
  <c r="E119" i="4"/>
  <c r="G119" i="4" a="1"/>
  <c r="G119" i="4"/>
  <c r="H119" i="4"/>
  <c r="F119" i="4"/>
  <c r="S119" i="4"/>
  <c r="C120" i="4" a="1"/>
  <c r="C120" i="4"/>
  <c r="E120" i="4" a="1"/>
  <c r="E120" i="4"/>
  <c r="G120" i="4" a="1"/>
  <c r="G120" i="4"/>
  <c r="H120" i="4"/>
  <c r="F120" i="4"/>
  <c r="S120" i="4"/>
  <c r="E13" i="4" a="1"/>
  <c r="E13" i="4"/>
  <c r="G13" i="4" a="1"/>
  <c r="G13" i="4"/>
  <c r="H13" i="4"/>
  <c r="F13" i="4"/>
  <c r="S13" i="4"/>
  <c r="Q33" i="3"/>
  <c r="AE33" i="3"/>
  <c r="AS33" i="3"/>
  <c r="BG33" i="3"/>
  <c r="BU33" i="3"/>
  <c r="CI33" i="3"/>
  <c r="CW33" i="3"/>
  <c r="DK33" i="3"/>
  <c r="DY33" i="3"/>
  <c r="EM33" i="3"/>
  <c r="Q34" i="3"/>
  <c r="AE34" i="3"/>
  <c r="AS34" i="3"/>
  <c r="BG34" i="3"/>
  <c r="BU34" i="3"/>
  <c r="CI34" i="3"/>
  <c r="CW34" i="3"/>
  <c r="DK34" i="3"/>
  <c r="DY34" i="3"/>
  <c r="EM34" i="3"/>
  <c r="Q35" i="3"/>
  <c r="AE35" i="3"/>
  <c r="AS35" i="3"/>
  <c r="BG35" i="3"/>
  <c r="BU35" i="3"/>
  <c r="CI35" i="3"/>
  <c r="CW35" i="3"/>
  <c r="DK35" i="3"/>
  <c r="DY35" i="3"/>
  <c r="EM35" i="3"/>
  <c r="Q36" i="3"/>
  <c r="AE36" i="3"/>
  <c r="AS36" i="3"/>
  <c r="BG36" i="3"/>
  <c r="BU36" i="3"/>
  <c r="CI36" i="3"/>
  <c r="CW36" i="3"/>
  <c r="DK36" i="3"/>
  <c r="DY36" i="3"/>
  <c r="EM36" i="3"/>
  <c r="Q37" i="3"/>
  <c r="AE37" i="3"/>
  <c r="AS37" i="3"/>
  <c r="BG37" i="3"/>
  <c r="BU37" i="3"/>
  <c r="CI37" i="3"/>
  <c r="CW37" i="3"/>
  <c r="DK37" i="3"/>
  <c r="DY37" i="3"/>
  <c r="EM37" i="3"/>
  <c r="Q38" i="3"/>
  <c r="AE38" i="3"/>
  <c r="AS38" i="3"/>
  <c r="BG38" i="3"/>
  <c r="BU38" i="3"/>
  <c r="CI38" i="3"/>
  <c r="CW38" i="3"/>
  <c r="DK38" i="3"/>
  <c r="DY38" i="3"/>
  <c r="EM38" i="3"/>
  <c r="Q39" i="3"/>
  <c r="AE39" i="3"/>
  <c r="AS39" i="3"/>
  <c r="BG39" i="3"/>
  <c r="BU39" i="3"/>
  <c r="CI39" i="3"/>
  <c r="CW39" i="3"/>
  <c r="DK39" i="3"/>
  <c r="DY39" i="3"/>
  <c r="EM39" i="3"/>
  <c r="Q40" i="3"/>
  <c r="AE40" i="3"/>
  <c r="AS40" i="3"/>
  <c r="BG40" i="3"/>
  <c r="BU40" i="3"/>
  <c r="CI40" i="3"/>
  <c r="CW40" i="3"/>
  <c r="DK40" i="3"/>
  <c r="DY40" i="3"/>
  <c r="EM40" i="3"/>
  <c r="Q41" i="3"/>
  <c r="AE41" i="3"/>
  <c r="AS41" i="3"/>
  <c r="BG41" i="3"/>
  <c r="BU41" i="3"/>
  <c r="CI41" i="3"/>
  <c r="CW41" i="3"/>
  <c r="DK41" i="3"/>
  <c r="DY41" i="3"/>
  <c r="EM41" i="3"/>
  <c r="Q42" i="3"/>
  <c r="AE42" i="3"/>
  <c r="AS42" i="3"/>
  <c r="BG42" i="3"/>
  <c r="BU42" i="3"/>
  <c r="CI42" i="3"/>
  <c r="CW42" i="3"/>
  <c r="DK42" i="3"/>
  <c r="DY42" i="3"/>
  <c r="EM42" i="3"/>
  <c r="Q43" i="3"/>
  <c r="AE43" i="3"/>
  <c r="AS43" i="3"/>
  <c r="BG43" i="3"/>
  <c r="BU43" i="3"/>
  <c r="CI43" i="3"/>
  <c r="CW43" i="3"/>
  <c r="DK43" i="3"/>
  <c r="DY43" i="3"/>
  <c r="EM43" i="3"/>
  <c r="Q44" i="3"/>
  <c r="AE44" i="3"/>
  <c r="AS44" i="3"/>
  <c r="BG44" i="3"/>
  <c r="BU44" i="3"/>
  <c r="CI44" i="3"/>
  <c r="CW44" i="3"/>
  <c r="DK44" i="3"/>
  <c r="DY44" i="3"/>
  <c r="EM44" i="3"/>
  <c r="Q45" i="3"/>
  <c r="AE45" i="3"/>
  <c r="AS45" i="3"/>
  <c r="BG45" i="3"/>
  <c r="BU45" i="3"/>
  <c r="CI45" i="3"/>
  <c r="CW45" i="3"/>
  <c r="DK45" i="3"/>
  <c r="DY45" i="3"/>
  <c r="EM45" i="3"/>
  <c r="Q46" i="3"/>
  <c r="AE46" i="3"/>
  <c r="AS46" i="3"/>
  <c r="BG46" i="3"/>
  <c r="BU46" i="3"/>
  <c r="CI46" i="3"/>
  <c r="CW46" i="3"/>
  <c r="DK46" i="3"/>
  <c r="DY46" i="3"/>
  <c r="EM46" i="3"/>
  <c r="Q47" i="3"/>
  <c r="AE47" i="3"/>
  <c r="AS47" i="3"/>
  <c r="BG47" i="3"/>
  <c r="BU47" i="3"/>
  <c r="CI47" i="3"/>
  <c r="CW47" i="3"/>
  <c r="DK47" i="3"/>
  <c r="DY47" i="3"/>
  <c r="EM47" i="3"/>
  <c r="Q48" i="3"/>
  <c r="AE48" i="3"/>
  <c r="AS48" i="3"/>
  <c r="BG48" i="3"/>
  <c r="BU48" i="3"/>
  <c r="CI48" i="3"/>
  <c r="CW48" i="3"/>
  <c r="DK48" i="3"/>
  <c r="DY48" i="3"/>
  <c r="EM48" i="3"/>
  <c r="Q49" i="3"/>
  <c r="AE49" i="3"/>
  <c r="AS49" i="3"/>
  <c r="BG49" i="3"/>
  <c r="BU49" i="3"/>
  <c r="CI49" i="3"/>
  <c r="CW49" i="3"/>
  <c r="DK49" i="3"/>
  <c r="DY49" i="3"/>
  <c r="EM49" i="3"/>
  <c r="Q50" i="3"/>
  <c r="AE50" i="3"/>
  <c r="AS50" i="3"/>
  <c r="BG50" i="3"/>
  <c r="BU50" i="3"/>
  <c r="CI50" i="3"/>
  <c r="CW50" i="3"/>
  <c r="DK50" i="3"/>
  <c r="DY50" i="3"/>
  <c r="EM50" i="3"/>
  <c r="Q51" i="3"/>
  <c r="AE51" i="3"/>
  <c r="AS51" i="3"/>
  <c r="BG51" i="3"/>
  <c r="BU51" i="3"/>
  <c r="CI51" i="3"/>
  <c r="CW51" i="3"/>
  <c r="DK51" i="3"/>
  <c r="DY51" i="3"/>
  <c r="EM51" i="3"/>
  <c r="Q52" i="3"/>
  <c r="AE52" i="3"/>
  <c r="AS52" i="3"/>
  <c r="BG52" i="3"/>
  <c r="BU52" i="3"/>
  <c r="CI52" i="3"/>
  <c r="CW52" i="3"/>
  <c r="DK52" i="3"/>
  <c r="DY52" i="3"/>
  <c r="EM52" i="3"/>
  <c r="Q53" i="3"/>
  <c r="AE53" i="3"/>
  <c r="AS53" i="3"/>
  <c r="BG53" i="3"/>
  <c r="BU53" i="3"/>
  <c r="CI53" i="3"/>
  <c r="CW53" i="3"/>
  <c r="DK53" i="3"/>
  <c r="DY53" i="3"/>
  <c r="EM53" i="3"/>
  <c r="Q54" i="3"/>
  <c r="AE54" i="3"/>
  <c r="AS54" i="3"/>
  <c r="BG54" i="3"/>
  <c r="BU54" i="3"/>
  <c r="CI54" i="3"/>
  <c r="CW54" i="3"/>
  <c r="DK54" i="3"/>
  <c r="DY54" i="3"/>
  <c r="EM54" i="3"/>
  <c r="Q55" i="3"/>
  <c r="AE55" i="3"/>
  <c r="AS55" i="3"/>
  <c r="BG55" i="3"/>
  <c r="BU55" i="3"/>
  <c r="CI55" i="3"/>
  <c r="CW55" i="3"/>
  <c r="DK55" i="3"/>
  <c r="DY55" i="3"/>
  <c r="EM55" i="3"/>
  <c r="Q56" i="3"/>
  <c r="AE56" i="3"/>
  <c r="AS56" i="3"/>
  <c r="BG56" i="3"/>
  <c r="BU56" i="3"/>
  <c r="CI56" i="3"/>
  <c r="CW56" i="3"/>
  <c r="DK56" i="3"/>
  <c r="DY56" i="3"/>
  <c r="EM56" i="3"/>
  <c r="Q57" i="3"/>
  <c r="AE57" i="3"/>
  <c r="AS57" i="3"/>
  <c r="BG57" i="3"/>
  <c r="BU57" i="3"/>
  <c r="CI57" i="3"/>
  <c r="CW57" i="3"/>
  <c r="DK57" i="3"/>
  <c r="DY57" i="3"/>
  <c r="EM57" i="3"/>
  <c r="Q26" i="3"/>
  <c r="AE26" i="3"/>
  <c r="AS26" i="3"/>
  <c r="BG26" i="3"/>
  <c r="BU26" i="3"/>
  <c r="CI26" i="3"/>
  <c r="CW26" i="3"/>
  <c r="DK26" i="3"/>
  <c r="DY26" i="3"/>
  <c r="EM26" i="3"/>
  <c r="Q27" i="3"/>
  <c r="AE27" i="3"/>
  <c r="AS27" i="3"/>
  <c r="BG27" i="3"/>
  <c r="BU27" i="3"/>
  <c r="CI27" i="3"/>
  <c r="CW27" i="3"/>
  <c r="DK27" i="3"/>
  <c r="DY27" i="3"/>
  <c r="EM27" i="3"/>
  <c r="Q28" i="3"/>
  <c r="AE28" i="3"/>
  <c r="AS28" i="3"/>
  <c r="BG28" i="3"/>
  <c r="BU28" i="3"/>
  <c r="CI28" i="3"/>
  <c r="CW28" i="3"/>
  <c r="DK28" i="3"/>
  <c r="DY28" i="3"/>
  <c r="EM28" i="3"/>
  <c r="Q29" i="3"/>
  <c r="AE29" i="3"/>
  <c r="AS29" i="3"/>
  <c r="BG29" i="3"/>
  <c r="BU29" i="3"/>
  <c r="CI29" i="3"/>
  <c r="CW29" i="3"/>
  <c r="DK29" i="3"/>
  <c r="DY29" i="3"/>
  <c r="EM29" i="3"/>
  <c r="Q30" i="3"/>
  <c r="AE30" i="3"/>
  <c r="AS30" i="3"/>
  <c r="BG30" i="3"/>
  <c r="BU30" i="3"/>
  <c r="CI30" i="3"/>
  <c r="CW30" i="3"/>
  <c r="DK30" i="3"/>
  <c r="DY30" i="3"/>
  <c r="EM30" i="3"/>
  <c r="Q31" i="3"/>
  <c r="AE31" i="3"/>
  <c r="AS31" i="3"/>
  <c r="BG31" i="3"/>
  <c r="BU31" i="3"/>
  <c r="CI31" i="3"/>
  <c r="CW31" i="3"/>
  <c r="DK31" i="3"/>
  <c r="DY31" i="3"/>
  <c r="EM31" i="3"/>
  <c r="Q32" i="3"/>
  <c r="AE32" i="3"/>
  <c r="AS32" i="3"/>
  <c r="BG32" i="3"/>
  <c r="BU32" i="3"/>
  <c r="CI32" i="3"/>
  <c r="CW32" i="3"/>
  <c r="DK32" i="3"/>
  <c r="DY32" i="3"/>
  <c r="EM32" i="3"/>
  <c r="H12" i="2" a="1"/>
  <c r="H12" i="2"/>
  <c r="I12" i="2"/>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F38" i="5" a="1"/>
  <c r="F38" i="5"/>
  <c r="E38" i="5" a="1"/>
  <c r="E38" i="5"/>
  <c r="AI19" i="4"/>
  <c r="F39" i="5" a="1"/>
  <c r="F39" i="5"/>
  <c r="E39" i="5" a="1"/>
  <c r="E39" i="5"/>
  <c r="AI20" i="4"/>
  <c r="AP35" i="4"/>
  <c r="AI35" i="4"/>
  <c r="AI22" i="4"/>
  <c r="E20" i="5" a="1"/>
  <c r="E20" i="5"/>
  <c r="E19" i="5" a="1"/>
  <c r="E19" i="5"/>
  <c r="C9" i="6"/>
  <c r="C10" i="6"/>
  <c r="C11" i="6"/>
  <c r="C12" i="6"/>
  <c r="C13" i="6"/>
  <c r="C14" i="6"/>
  <c r="C15" i="6"/>
  <c r="C16" i="6"/>
  <c r="C17" i="6"/>
  <c r="C18" i="6"/>
  <c r="E12" i="5" a="1"/>
  <c r="E12" i="5"/>
  <c r="E11" i="5"/>
  <c r="E9" i="5"/>
  <c r="E8" i="5" a="1"/>
  <c r="E8" i="5"/>
  <c r="AS10" i="3"/>
  <c r="BG10" i="3"/>
  <c r="BU10" i="3"/>
  <c r="CI10" i="3"/>
  <c r="CW10" i="3"/>
  <c r="DK10" i="3"/>
  <c r="DY10" i="3"/>
  <c r="EM10" i="3"/>
  <c r="AS11" i="3"/>
  <c r="BG11" i="3"/>
  <c r="BU11" i="3"/>
  <c r="CI11" i="3"/>
  <c r="CW11" i="3"/>
  <c r="DK11" i="3"/>
  <c r="DY11" i="3"/>
  <c r="EM11" i="3"/>
  <c r="AS12" i="3"/>
  <c r="BG12" i="3"/>
  <c r="BU12" i="3"/>
  <c r="CI12" i="3"/>
  <c r="CW12" i="3"/>
  <c r="DK12" i="3"/>
  <c r="DY12" i="3"/>
  <c r="EM12" i="3"/>
  <c r="AS13" i="3"/>
  <c r="BG13" i="3"/>
  <c r="BU13" i="3"/>
  <c r="CI13" i="3"/>
  <c r="CW13" i="3"/>
  <c r="DK13" i="3"/>
  <c r="DY13" i="3"/>
  <c r="EM13" i="3"/>
  <c r="AS14" i="3"/>
  <c r="BG14" i="3"/>
  <c r="BU14" i="3"/>
  <c r="CI14" i="3"/>
  <c r="CW14" i="3"/>
  <c r="DK14" i="3"/>
  <c r="DY14" i="3"/>
  <c r="EM14" i="3"/>
  <c r="AS15" i="3"/>
  <c r="BG15" i="3"/>
  <c r="BU15" i="3"/>
  <c r="CI15" i="3"/>
  <c r="CW15" i="3"/>
  <c r="DK15" i="3"/>
  <c r="DY15" i="3"/>
  <c r="EM15" i="3"/>
  <c r="AS16" i="3"/>
  <c r="BG16" i="3"/>
  <c r="BU16" i="3"/>
  <c r="CI16" i="3"/>
  <c r="CW16" i="3"/>
  <c r="DK16" i="3"/>
  <c r="DY16" i="3"/>
  <c r="EM16" i="3"/>
  <c r="AS17" i="3"/>
  <c r="BG17" i="3"/>
  <c r="BU17" i="3"/>
  <c r="CI17" i="3"/>
  <c r="CW17" i="3"/>
  <c r="DK17" i="3"/>
  <c r="DY17" i="3"/>
  <c r="EM17" i="3"/>
  <c r="AS18" i="3"/>
  <c r="BG18" i="3"/>
  <c r="BU18" i="3"/>
  <c r="CI18" i="3"/>
  <c r="CW18" i="3"/>
  <c r="DK18" i="3"/>
  <c r="DY18" i="3"/>
  <c r="EM18" i="3"/>
  <c r="AS19" i="3"/>
  <c r="BG19" i="3"/>
  <c r="BU19" i="3"/>
  <c r="CI19" i="3"/>
  <c r="CW19" i="3"/>
  <c r="DK19" i="3"/>
  <c r="DY19" i="3"/>
  <c r="EM19" i="3"/>
  <c r="AS23" i="3"/>
  <c r="BG23" i="3"/>
  <c r="BU23" i="3"/>
  <c r="CI23" i="3"/>
  <c r="CW23" i="3"/>
  <c r="DK23" i="3"/>
  <c r="DY23" i="3"/>
  <c r="EM23" i="3"/>
  <c r="AS24" i="3"/>
  <c r="BG24" i="3"/>
  <c r="BU24" i="3"/>
  <c r="CI24" i="3"/>
  <c r="CW24" i="3"/>
  <c r="DK24" i="3"/>
  <c r="DY24" i="3"/>
  <c r="EM24" i="3"/>
  <c r="AS25" i="3"/>
  <c r="BG25" i="3"/>
  <c r="BU25" i="3"/>
  <c r="CI25" i="3"/>
  <c r="CW25" i="3"/>
  <c r="DK25" i="3"/>
  <c r="DY25" i="3"/>
  <c r="EM25" i="3"/>
  <c r="AS61" i="3"/>
  <c r="BG61" i="3"/>
  <c r="BU61" i="3"/>
  <c r="CI61" i="3"/>
  <c r="CW61" i="3"/>
  <c r="DK61" i="3"/>
  <c r="DY61" i="3"/>
  <c r="EM61" i="3"/>
  <c r="AS62" i="3"/>
  <c r="BG62" i="3"/>
  <c r="BU62" i="3"/>
  <c r="CI62" i="3"/>
  <c r="CW62" i="3"/>
  <c r="DK62" i="3"/>
  <c r="DY62" i="3"/>
  <c r="EM62" i="3"/>
  <c r="AS63" i="3"/>
  <c r="BG63" i="3"/>
  <c r="BU63" i="3"/>
  <c r="CI63" i="3"/>
  <c r="CW63" i="3"/>
  <c r="DK63" i="3"/>
  <c r="DY63" i="3"/>
  <c r="EM63" i="3"/>
  <c r="AS64" i="3"/>
  <c r="BG64" i="3"/>
  <c r="BU64" i="3"/>
  <c r="CI64" i="3"/>
  <c r="CW64" i="3"/>
  <c r="DK64" i="3"/>
  <c r="DY64" i="3"/>
  <c r="EM64" i="3"/>
  <c r="AS65" i="3"/>
  <c r="BG65" i="3"/>
  <c r="BU65" i="3"/>
  <c r="CI65" i="3"/>
  <c r="CW65" i="3"/>
  <c r="DK65" i="3"/>
  <c r="DY65" i="3"/>
  <c r="EM65" i="3"/>
  <c r="AS66" i="3"/>
  <c r="BG66" i="3"/>
  <c r="BU66" i="3"/>
  <c r="CI66" i="3"/>
  <c r="CW66" i="3"/>
  <c r="DK66" i="3"/>
  <c r="DY66" i="3"/>
  <c r="EM66" i="3"/>
  <c r="AS67" i="3"/>
  <c r="BG67" i="3"/>
  <c r="BU67" i="3"/>
  <c r="CI67" i="3"/>
  <c r="CW67" i="3"/>
  <c r="DK67" i="3"/>
  <c r="DY67" i="3"/>
  <c r="EM67" i="3"/>
  <c r="AS68" i="3"/>
  <c r="BG68" i="3"/>
  <c r="BU68" i="3"/>
  <c r="CI68" i="3"/>
  <c r="CW68" i="3"/>
  <c r="DK68" i="3"/>
  <c r="DY68" i="3"/>
  <c r="EM68" i="3"/>
  <c r="AS69" i="3"/>
  <c r="BG69" i="3"/>
  <c r="BU69" i="3"/>
  <c r="CI69" i="3"/>
  <c r="CW69" i="3"/>
  <c r="DK69" i="3"/>
  <c r="DY69" i="3"/>
  <c r="EM69" i="3"/>
  <c r="AS70" i="3"/>
  <c r="BG70" i="3"/>
  <c r="BU70" i="3"/>
  <c r="CI70" i="3"/>
  <c r="CW70" i="3"/>
  <c r="DK70" i="3"/>
  <c r="DY70" i="3"/>
  <c r="EM70" i="3"/>
  <c r="AE10" i="3"/>
  <c r="AE11" i="3"/>
  <c r="AE12" i="3"/>
  <c r="AE13" i="3"/>
  <c r="AE14" i="3"/>
  <c r="AE15" i="3"/>
  <c r="AE16" i="3"/>
  <c r="AE17" i="3"/>
  <c r="AE18" i="3"/>
  <c r="AE19" i="3"/>
  <c r="AE23" i="3"/>
  <c r="AE24" i="3"/>
  <c r="AE25" i="3"/>
  <c r="AE61" i="3"/>
  <c r="AE62" i="3"/>
  <c r="AE63" i="3"/>
  <c r="AE64" i="3"/>
  <c r="AE65" i="3"/>
  <c r="AE66" i="3"/>
  <c r="AE67" i="3"/>
  <c r="AE68" i="3"/>
  <c r="AE69" i="3"/>
  <c r="AE70" i="3"/>
  <c r="Q70" i="3"/>
  <c r="Q69" i="3"/>
  <c r="Q68" i="3"/>
  <c r="Q67" i="3"/>
  <c r="Q66" i="3"/>
  <c r="Q65" i="3"/>
  <c r="Q64" i="3"/>
  <c r="Q63" i="3"/>
  <c r="Q62" i="3"/>
  <c r="Q61" i="3"/>
  <c r="Q25" i="3"/>
  <c r="Q24" i="3"/>
  <c r="Q23" i="3"/>
  <c r="Q11" i="3"/>
  <c r="Q12" i="3"/>
  <c r="Q13" i="3"/>
  <c r="Q14" i="3"/>
  <c r="Q15" i="3"/>
  <c r="Q16" i="3"/>
  <c r="Q17" i="3"/>
  <c r="Q18" i="3"/>
  <c r="Q19" i="3"/>
  <c r="Q10" i="3"/>
  <c r="E5" i="3"/>
  <c r="O60" i="3"/>
  <c r="E10" i="5"/>
  <c r="AB13" i="4"/>
  <c r="E22" i="5"/>
  <c r="E23" i="5" a="1"/>
  <c r="E23" i="5"/>
  <c r="E24" i="5"/>
  <c r="D59" i="5"/>
  <c r="D75" i="5"/>
  <c r="D91" i="5"/>
  <c r="D63" i="5"/>
  <c r="D79" i="5"/>
  <c r="D95" i="5"/>
  <c r="D67" i="5"/>
  <c r="D83" i="5"/>
  <c r="D99" i="5"/>
  <c r="D55" i="5"/>
  <c r="D71" i="5"/>
  <c r="D87" i="5"/>
  <c r="E13" i="5"/>
  <c r="E14" i="5"/>
  <c r="J13" i="4" a="1"/>
  <c r="J13" i="4"/>
  <c r="E21" i="5"/>
  <c r="Y11" i="4"/>
  <c r="N9" i="3"/>
  <c r="G22" i="3"/>
  <c r="O22" i="3"/>
  <c r="E60" i="3"/>
  <c r="G9" i="3"/>
  <c r="O9" i="3"/>
  <c r="H22" i="3"/>
  <c r="P22" i="3"/>
  <c r="H60" i="3"/>
  <c r="P60" i="3"/>
  <c r="J9" i="3"/>
  <c r="K22" i="3"/>
  <c r="I60" i="3"/>
  <c r="Q60" i="3"/>
  <c r="K9" i="3"/>
  <c r="L22" i="3"/>
  <c r="L60" i="3"/>
  <c r="F9" i="3"/>
  <c r="M60" i="3"/>
  <c r="H9" i="3"/>
  <c r="L9" i="3"/>
  <c r="P9" i="3"/>
  <c r="E22" i="3"/>
  <c r="I22" i="3"/>
  <c r="M22" i="3"/>
  <c r="Q22" i="3"/>
  <c r="F60" i="3"/>
  <c r="J60" i="3"/>
  <c r="N60" i="3"/>
  <c r="S5" i="3"/>
  <c r="Y60" i="3"/>
  <c r="E9" i="3"/>
  <c r="I9" i="3"/>
  <c r="M9" i="3"/>
  <c r="Q9" i="3"/>
  <c r="F22" i="3"/>
  <c r="J22" i="3"/>
  <c r="N22" i="3"/>
  <c r="G60" i="3"/>
  <c r="K60" i="3"/>
  <c r="T22" i="3"/>
  <c r="AC9" i="3"/>
  <c r="AA13" i="4"/>
  <c r="V13" i="4"/>
  <c r="D13" i="4"/>
  <c r="I13" i="4" a="1"/>
  <c r="I13" i="4"/>
  <c r="AC13" i="4"/>
  <c r="K13" i="4" a="1"/>
  <c r="K13" i="4"/>
  <c r="AD13" i="4"/>
  <c r="L13" i="4" a="1"/>
  <c r="L13" i="4"/>
  <c r="Z13" i="4"/>
  <c r="J15" i="4" a="1"/>
  <c r="J15" i="4"/>
  <c r="H14" i="4"/>
  <c r="E14" i="4" a="1"/>
  <c r="E14" i="4"/>
  <c r="G14" i="4" a="1"/>
  <c r="G14" i="4"/>
  <c r="X22" i="3"/>
  <c r="AC60" i="3"/>
  <c r="F89" i="5"/>
  <c r="F87" i="5"/>
  <c r="F88" i="5"/>
  <c r="F100" i="5"/>
  <c r="F101" i="5"/>
  <c r="F99" i="5"/>
  <c r="F95" i="5"/>
  <c r="F96" i="5"/>
  <c r="F97" i="5"/>
  <c r="F75" i="5"/>
  <c r="F76" i="5"/>
  <c r="F77" i="5"/>
  <c r="F73" i="5"/>
  <c r="F71" i="5"/>
  <c r="F72" i="5"/>
  <c r="F84" i="5"/>
  <c r="F85" i="5"/>
  <c r="F83" i="5"/>
  <c r="F79" i="5"/>
  <c r="F80" i="5"/>
  <c r="F81" i="5"/>
  <c r="F59" i="5"/>
  <c r="F60" i="5"/>
  <c r="F61" i="5"/>
  <c r="F55" i="5"/>
  <c r="F57" i="5"/>
  <c r="F56" i="5"/>
  <c r="F68" i="5"/>
  <c r="F69" i="5"/>
  <c r="F67" i="5"/>
  <c r="F63" i="5"/>
  <c r="F64" i="5"/>
  <c r="F65" i="5"/>
  <c r="F91" i="5"/>
  <c r="F92" i="5"/>
  <c r="F93" i="5"/>
  <c r="J14" i="4" a="1"/>
  <c r="J14" i="4"/>
  <c r="AF11" i="4"/>
  <c r="Y9" i="3"/>
  <c r="T9" i="3"/>
  <c r="AG5" i="3"/>
  <c r="V9" i="3"/>
  <c r="AB9" i="3"/>
  <c r="S22" i="3"/>
  <c r="Y22" i="3"/>
  <c r="AD22" i="3"/>
  <c r="S60" i="3"/>
  <c r="X60" i="3"/>
  <c r="AD60" i="3"/>
  <c r="U9" i="3"/>
  <c r="AA22" i="3"/>
  <c r="V60" i="3"/>
  <c r="AA60" i="3"/>
  <c r="AA9" i="3"/>
  <c r="AC22" i="3"/>
  <c r="W60" i="3"/>
  <c r="W9" i="3"/>
  <c r="AD9" i="3"/>
  <c r="U22" i="3"/>
  <c r="Z22" i="3"/>
  <c r="AE22" i="3"/>
  <c r="T60" i="3"/>
  <c r="Z60" i="3"/>
  <c r="AE60" i="3"/>
  <c r="W22" i="3"/>
  <c r="X9" i="3"/>
  <c r="V22" i="3"/>
  <c r="S9" i="3"/>
  <c r="AB60" i="3"/>
  <c r="Z9" i="3"/>
  <c r="AB22" i="3"/>
  <c r="AE9" i="3"/>
  <c r="U60" i="3"/>
  <c r="Q13" i="4"/>
  <c r="P13" i="4"/>
  <c r="R13" i="4"/>
  <c r="M13" i="4" a="1"/>
  <c r="M13" i="4"/>
  <c r="W13" i="4"/>
  <c r="T13" i="4"/>
  <c r="X13" i="4"/>
  <c r="Y13" i="4"/>
  <c r="O13" i="4"/>
  <c r="N13" i="4" a="1"/>
  <c r="N13" i="4"/>
  <c r="U13" i="4"/>
  <c r="L14" i="4" a="1"/>
  <c r="L14" i="4"/>
  <c r="J16" i="4" a="1"/>
  <c r="J16" i="4"/>
  <c r="D14" i="4"/>
  <c r="F14" i="4"/>
  <c r="G91" i="5"/>
  <c r="J91" i="5" a="1"/>
  <c r="J91" i="5"/>
  <c r="J83" i="5" a="1"/>
  <c r="J83" i="5"/>
  <c r="G83" i="5"/>
  <c r="J93" i="5" a="1"/>
  <c r="J93" i="5"/>
  <c r="G93" i="5"/>
  <c r="J64" i="5" a="1"/>
  <c r="J64" i="5"/>
  <c r="G64" i="5"/>
  <c r="G68" i="5"/>
  <c r="J68" i="5" a="1"/>
  <c r="J68" i="5"/>
  <c r="J61" i="5" a="1"/>
  <c r="J61" i="5"/>
  <c r="G61" i="5"/>
  <c r="J80" i="5" a="1"/>
  <c r="J80" i="5"/>
  <c r="G80" i="5"/>
  <c r="J84" i="5" a="1"/>
  <c r="J84" i="5"/>
  <c r="G84" i="5"/>
  <c r="J77" i="5" a="1"/>
  <c r="J77" i="5"/>
  <c r="G77" i="5"/>
  <c r="G96" i="5"/>
  <c r="J96" i="5" a="1"/>
  <c r="J96" i="5"/>
  <c r="G100" i="5"/>
  <c r="J100" i="5" a="1"/>
  <c r="J100" i="5"/>
  <c r="G92" i="5"/>
  <c r="J92" i="5" a="1"/>
  <c r="J92" i="5"/>
  <c r="J63" i="5" a="1"/>
  <c r="J63" i="5"/>
  <c r="G63" i="5"/>
  <c r="J56" i="5" a="1"/>
  <c r="J56" i="5"/>
  <c r="G56" i="5"/>
  <c r="J60" i="5" a="1"/>
  <c r="J60" i="5"/>
  <c r="G60" i="5"/>
  <c r="J79" i="5" a="1"/>
  <c r="J79" i="5"/>
  <c r="G79" i="5"/>
  <c r="J72" i="5" a="1"/>
  <c r="J72" i="5"/>
  <c r="G72" i="5"/>
  <c r="G76" i="5"/>
  <c r="J76" i="5" a="1"/>
  <c r="J76" i="5"/>
  <c r="G95" i="5"/>
  <c r="J95" i="5" a="1"/>
  <c r="J95" i="5"/>
  <c r="J88" i="5" a="1"/>
  <c r="J88" i="5"/>
  <c r="G88" i="5"/>
  <c r="J57" i="5" a="1"/>
  <c r="J57" i="5"/>
  <c r="G57" i="5"/>
  <c r="J59" i="5" a="1"/>
  <c r="J59" i="5"/>
  <c r="G59" i="5"/>
  <c r="G75" i="5"/>
  <c r="J75" i="5" a="1"/>
  <c r="J75" i="5"/>
  <c r="J99" i="5" a="1"/>
  <c r="J99" i="5"/>
  <c r="G99" i="5"/>
  <c r="G87" i="5"/>
  <c r="J87" i="5" a="1"/>
  <c r="J87" i="5"/>
  <c r="J67" i="5" a="1"/>
  <c r="J67" i="5"/>
  <c r="G67" i="5"/>
  <c r="G71" i="5"/>
  <c r="J71" i="5" a="1"/>
  <c r="J71" i="5"/>
  <c r="G65" i="5"/>
  <c r="J65" i="5" a="1"/>
  <c r="J65" i="5"/>
  <c r="G69" i="5"/>
  <c r="J69" i="5" a="1"/>
  <c r="J69" i="5"/>
  <c r="J55" i="5" a="1"/>
  <c r="J55" i="5"/>
  <c r="G55" i="5"/>
  <c r="J81" i="5" a="1"/>
  <c r="J81" i="5"/>
  <c r="G81" i="5"/>
  <c r="J85" i="5" a="1"/>
  <c r="J85" i="5"/>
  <c r="G85" i="5"/>
  <c r="J73" i="5" a="1"/>
  <c r="J73" i="5"/>
  <c r="G73" i="5"/>
  <c r="G97" i="5"/>
  <c r="J97" i="5" a="1"/>
  <c r="J97" i="5"/>
  <c r="J101" i="5" a="1"/>
  <c r="J101" i="5"/>
  <c r="G101" i="5"/>
  <c r="G89" i="5"/>
  <c r="J89" i="5" a="1"/>
  <c r="J89" i="5"/>
  <c r="AU5" i="3"/>
  <c r="AJ9" i="3"/>
  <c r="AN9" i="3"/>
  <c r="AR9" i="3"/>
  <c r="AJ22" i="3"/>
  <c r="AN22" i="3"/>
  <c r="AR22" i="3"/>
  <c r="AJ60" i="3"/>
  <c r="AN60" i="3"/>
  <c r="AR60" i="3"/>
  <c r="AM9" i="3"/>
  <c r="AM22" i="3"/>
  <c r="AI60" i="3"/>
  <c r="AG9" i="3"/>
  <c r="AK9" i="3"/>
  <c r="AO9" i="3"/>
  <c r="AS9" i="3"/>
  <c r="AG22" i="3"/>
  <c r="AK22" i="3"/>
  <c r="AO22" i="3"/>
  <c r="AS22" i="3"/>
  <c r="AG60" i="3"/>
  <c r="AK60" i="3"/>
  <c r="AO60" i="3"/>
  <c r="AS60" i="3"/>
  <c r="AI9" i="3"/>
  <c r="AI22" i="3"/>
  <c r="AQ60" i="3"/>
  <c r="AH9" i="3"/>
  <c r="AL9" i="3"/>
  <c r="AP9" i="3"/>
  <c r="AH22" i="3"/>
  <c r="AL22" i="3"/>
  <c r="AP22" i="3"/>
  <c r="AH60" i="3"/>
  <c r="AL60" i="3"/>
  <c r="AP60" i="3"/>
  <c r="AQ9" i="3"/>
  <c r="AQ22" i="3"/>
  <c r="AM60" i="3"/>
  <c r="N14" i="4" a="1"/>
  <c r="N14" i="4"/>
  <c r="M14" i="4" a="1"/>
  <c r="M14" i="4"/>
  <c r="D15" i="4"/>
  <c r="I14" i="4" a="1"/>
  <c r="I14" i="4"/>
  <c r="K14" i="4" a="1"/>
  <c r="K14" i="4"/>
  <c r="J17" i="4" a="1"/>
  <c r="J17" i="4"/>
  <c r="BI5" i="3"/>
  <c r="AZ9" i="3"/>
  <c r="AW22" i="3"/>
  <c r="BA22" i="3"/>
  <c r="BE22" i="3"/>
  <c r="AW60" i="3"/>
  <c r="BA60" i="3"/>
  <c r="BE60" i="3"/>
  <c r="AY60" i="3"/>
  <c r="AZ22" i="3"/>
  <c r="AV60" i="3"/>
  <c r="BA9" i="3"/>
  <c r="AX22" i="3"/>
  <c r="BB22" i="3"/>
  <c r="BF22" i="3"/>
  <c r="AX60" i="3"/>
  <c r="BB60" i="3"/>
  <c r="BF60" i="3"/>
  <c r="AV22" i="3"/>
  <c r="BD22" i="3"/>
  <c r="AZ60" i="3"/>
  <c r="AV9" i="3"/>
  <c r="BD9" i="3"/>
  <c r="AU22" i="3"/>
  <c r="AY22" i="3"/>
  <c r="BC22" i="3"/>
  <c r="BG22" i="3"/>
  <c r="AU60" i="3"/>
  <c r="BC60" i="3"/>
  <c r="BG60" i="3"/>
  <c r="AW9" i="3"/>
  <c r="BE9" i="3"/>
  <c r="BD60" i="3"/>
  <c r="BB9" i="3"/>
  <c r="BC9" i="3"/>
  <c r="AU9" i="3"/>
  <c r="AY9" i="3"/>
  <c r="BF9" i="3"/>
  <c r="BG9" i="3"/>
  <c r="AX9" i="3"/>
  <c r="Q14" i="4"/>
  <c r="V14" i="4"/>
  <c r="O14" i="4"/>
  <c r="T14" i="4"/>
  <c r="J18" i="4" a="1"/>
  <c r="J18" i="4"/>
  <c r="M15" i="4" a="1"/>
  <c r="M15" i="4"/>
  <c r="V15" i="4"/>
  <c r="N15" i="4" a="1"/>
  <c r="N15" i="4"/>
  <c r="D16" i="4"/>
  <c r="I15" i="4" a="1"/>
  <c r="I15" i="4"/>
  <c r="K15" i="4" a="1"/>
  <c r="K15" i="4"/>
  <c r="AJ19" i="4"/>
  <c r="AJ20" i="4"/>
  <c r="BN9" i="3"/>
  <c r="BJ22" i="3"/>
  <c r="BO22" i="3"/>
  <c r="BU22" i="3"/>
  <c r="BJ60" i="3"/>
  <c r="BO60" i="3"/>
  <c r="BU60" i="3"/>
  <c r="BN22" i="3"/>
  <c r="BI60" i="3"/>
  <c r="BK22" i="3"/>
  <c r="BQ22" i="3"/>
  <c r="BK60" i="3"/>
  <c r="BQ60" i="3"/>
  <c r="BS22" i="3"/>
  <c r="BS60" i="3"/>
  <c r="BM22" i="3"/>
  <c r="BR22" i="3"/>
  <c r="BM60" i="3"/>
  <c r="BR60" i="3"/>
  <c r="BI22" i="3"/>
  <c r="BN60" i="3"/>
  <c r="BK9" i="3"/>
  <c r="BP9" i="3"/>
  <c r="BJ9" i="3"/>
  <c r="BT22" i="3"/>
  <c r="BW5" i="3"/>
  <c r="BL22" i="3"/>
  <c r="BL9" i="3"/>
  <c r="BQ9" i="3"/>
  <c r="BT60" i="3"/>
  <c r="BO9" i="3"/>
  <c r="BT9" i="3"/>
  <c r="BR9" i="3"/>
  <c r="BL60" i="3"/>
  <c r="BM9" i="3"/>
  <c r="BS9" i="3"/>
  <c r="BI9" i="3"/>
  <c r="BP60" i="3"/>
  <c r="BU9" i="3"/>
  <c r="BP22" i="3"/>
  <c r="O15" i="4"/>
  <c r="T15" i="4"/>
  <c r="D17" i="4"/>
  <c r="I17" i="4" a="1"/>
  <c r="I17" i="4"/>
  <c r="K17" i="4" a="1"/>
  <c r="K17" i="4"/>
  <c r="I16" i="4" a="1"/>
  <c r="I16" i="4"/>
  <c r="K16" i="4" a="1"/>
  <c r="K16" i="4"/>
  <c r="Q15" i="4"/>
  <c r="N16" i="4" a="1"/>
  <c r="N16" i="4"/>
  <c r="M16" i="4" a="1"/>
  <c r="M16" i="4"/>
  <c r="O16" i="4"/>
  <c r="J19" i="4" a="1"/>
  <c r="J19" i="4"/>
  <c r="H18" i="4"/>
  <c r="G18" i="4" a="1"/>
  <c r="G18" i="4"/>
  <c r="E18" i="4" a="1"/>
  <c r="E18" i="4"/>
  <c r="CK5" i="3"/>
  <c r="BY9" i="3"/>
  <c r="CH9" i="3"/>
  <c r="CC22" i="3"/>
  <c r="CG60" i="3"/>
  <c r="CF22" i="3"/>
  <c r="CH22" i="3"/>
  <c r="BW60" i="3"/>
  <c r="CF60" i="3"/>
  <c r="BZ22" i="3"/>
  <c r="BX9" i="3"/>
  <c r="CA9" i="3"/>
  <c r="CG22" i="3"/>
  <c r="CD9" i="3"/>
  <c r="BX22" i="3"/>
  <c r="CA60" i="3"/>
  <c r="CE22" i="3"/>
  <c r="CF9" i="3"/>
  <c r="BZ9" i="3"/>
  <c r="BY22" i="3"/>
  <c r="CC60" i="3"/>
  <c r="CB22" i="3"/>
  <c r="BZ60" i="3"/>
  <c r="CD60" i="3"/>
  <c r="CE60" i="3"/>
  <c r="CC9" i="3"/>
  <c r="CE9" i="3"/>
  <c r="CB60" i="3"/>
  <c r="CI22" i="3"/>
  <c r="CB9" i="3"/>
  <c r="CG9" i="3"/>
  <c r="CI9" i="3"/>
  <c r="BY60" i="3"/>
  <c r="BW9" i="3"/>
  <c r="BW22" i="3"/>
  <c r="CD22" i="3"/>
  <c r="CH60" i="3"/>
  <c r="CI60" i="3"/>
  <c r="BX60" i="3"/>
  <c r="CA22" i="3"/>
  <c r="P15" i="4"/>
  <c r="P16" i="4"/>
  <c r="P14" i="4"/>
  <c r="Q16" i="4"/>
  <c r="T16" i="4"/>
  <c r="V16" i="4"/>
  <c r="D18" i="4"/>
  <c r="I18" i="4" a="1"/>
  <c r="I18" i="4"/>
  <c r="K18" i="4" a="1"/>
  <c r="K18" i="4"/>
  <c r="L18" i="4" a="1"/>
  <c r="L18" i="4"/>
  <c r="F18" i="4"/>
  <c r="J20" i="4" a="1"/>
  <c r="J20" i="4"/>
  <c r="X17" i="4"/>
  <c r="V17" i="4"/>
  <c r="T17" i="4"/>
  <c r="R17" i="4"/>
  <c r="N17" i="4" a="1"/>
  <c r="N17" i="4"/>
  <c r="W17" i="4"/>
  <c r="Q17" i="4"/>
  <c r="P17" i="4"/>
  <c r="U17" i="4"/>
  <c r="O17" i="4"/>
  <c r="M17" i="4" a="1"/>
  <c r="M17" i="4"/>
  <c r="CW9" i="3"/>
  <c r="CT9" i="3"/>
  <c r="CP22" i="3"/>
  <c r="CT60" i="3"/>
  <c r="CR22" i="3"/>
  <c r="CN9" i="3"/>
  <c r="CS60" i="3"/>
  <c r="CV60" i="3"/>
  <c r="CK60" i="3"/>
  <c r="CU60" i="3"/>
  <c r="CQ60" i="3"/>
  <c r="CS9" i="3"/>
  <c r="CP60" i="3"/>
  <c r="CO60" i="3"/>
  <c r="CK9" i="3"/>
  <c r="CY5" i="3"/>
  <c r="CQ9" i="3"/>
  <c r="CT22" i="3"/>
  <c r="CM9" i="3"/>
  <c r="CW22" i="3"/>
  <c r="CO22" i="3"/>
  <c r="CV9" i="3"/>
  <c r="CQ22" i="3"/>
  <c r="CR60" i="3"/>
  <c r="CL22" i="3"/>
  <c r="CS22" i="3"/>
  <c r="CW60" i="3"/>
  <c r="CO9" i="3"/>
  <c r="CL9" i="3"/>
  <c r="CR9" i="3"/>
  <c r="CL60" i="3"/>
  <c r="CU9" i="3"/>
  <c r="CN22" i="3"/>
  <c r="CU22" i="3"/>
  <c r="CK22" i="3"/>
  <c r="CM60" i="3"/>
  <c r="CP9" i="3"/>
  <c r="CM22" i="3"/>
  <c r="CN60" i="3"/>
  <c r="CV22" i="3"/>
  <c r="D19" i="4"/>
  <c r="I19" i="4" a="1"/>
  <c r="I19" i="4"/>
  <c r="K19" i="4" a="1"/>
  <c r="K19" i="4"/>
  <c r="M18" i="4" a="1"/>
  <c r="M18" i="4"/>
  <c r="V18" i="4"/>
  <c r="DF9" i="3"/>
  <c r="DG9" i="3"/>
  <c r="DA9" i="3"/>
  <c r="DG22" i="3"/>
  <c r="DG60" i="3"/>
  <c r="DD22" i="3"/>
  <c r="DE22" i="3"/>
  <c r="CZ60" i="3"/>
  <c r="DD60" i="3"/>
  <c r="DB22" i="3"/>
  <c r="DJ9" i="3"/>
  <c r="DI9" i="3"/>
  <c r="DK22" i="3"/>
  <c r="DK60" i="3"/>
  <c r="DI22" i="3"/>
  <c r="DE60" i="3"/>
  <c r="DF60" i="3"/>
  <c r="CY9" i="3"/>
  <c r="CZ9" i="3"/>
  <c r="CY60" i="3"/>
  <c r="DD9" i="3"/>
  <c r="DA22" i="3"/>
  <c r="DJ60" i="3"/>
  <c r="DI60" i="3"/>
  <c r="DB9" i="3"/>
  <c r="DH9" i="3"/>
  <c r="DC22" i="3"/>
  <c r="DE9" i="3"/>
  <c r="DF22" i="3"/>
  <c r="DA60" i="3"/>
  <c r="DK9" i="3"/>
  <c r="DJ22" i="3"/>
  <c r="DB60" i="3"/>
  <c r="CY22" i="3"/>
  <c r="DM5" i="3"/>
  <c r="DH60" i="3"/>
  <c r="DC9" i="3"/>
  <c r="DC60" i="3"/>
  <c r="CZ22" i="3"/>
  <c r="DH22" i="3"/>
  <c r="J22" i="4" a="1"/>
  <c r="J22" i="4"/>
  <c r="M19" i="4" a="1"/>
  <c r="M19" i="4"/>
  <c r="J21" i="4" a="1"/>
  <c r="J21" i="4"/>
  <c r="D20" i="4"/>
  <c r="I20" i="4" a="1"/>
  <c r="I20" i="4"/>
  <c r="K20" i="4" a="1"/>
  <c r="K20" i="4"/>
  <c r="DO9" i="3"/>
  <c r="DT9" i="3"/>
  <c r="DY9" i="3"/>
  <c r="DX22" i="3"/>
  <c r="DO22" i="3"/>
  <c r="DV22" i="3"/>
  <c r="DW22" i="3"/>
  <c r="DM60" i="3"/>
  <c r="DN22" i="3"/>
  <c r="DS22" i="3"/>
  <c r="DS60" i="3"/>
  <c r="DV60" i="3"/>
  <c r="DT22" i="3"/>
  <c r="DR22" i="3"/>
  <c r="DO60" i="3"/>
  <c r="DS9" i="3"/>
  <c r="DX9" i="3"/>
  <c r="DR9" i="3"/>
  <c r="DP60" i="3"/>
  <c r="DU22" i="3"/>
  <c r="DV9" i="3"/>
  <c r="DQ60" i="3"/>
  <c r="DN60" i="3"/>
  <c r="DQ9" i="3"/>
  <c r="DQ22" i="3"/>
  <c r="DR60" i="3"/>
  <c r="DW9" i="3"/>
  <c r="EA5" i="3"/>
  <c r="DP22" i="3"/>
  <c r="DM9" i="3"/>
  <c r="DN9" i="3"/>
  <c r="DM22" i="3"/>
  <c r="DU60" i="3"/>
  <c r="DX60" i="3"/>
  <c r="DT60" i="3"/>
  <c r="DY22" i="3"/>
  <c r="DP9" i="3"/>
  <c r="DU9" i="3"/>
  <c r="DY60" i="3"/>
  <c r="DW60" i="3"/>
  <c r="V19" i="4"/>
  <c r="D21" i="4"/>
  <c r="H22" i="4"/>
  <c r="G22" i="4" a="1"/>
  <c r="G22" i="4"/>
  <c r="E22" i="4" a="1"/>
  <c r="E22" i="4"/>
  <c r="M20" i="4" a="1"/>
  <c r="M20" i="4"/>
  <c r="V20" i="4"/>
  <c r="EB9" i="3"/>
  <c r="EG9" i="3"/>
  <c r="EI9" i="3"/>
  <c r="ED9" i="3"/>
  <c r="EF22" i="3"/>
  <c r="EM22" i="3"/>
  <c r="ED60" i="3"/>
  <c r="EJ22" i="3"/>
  <c r="EM60" i="3"/>
  <c r="EJ60" i="3"/>
  <c r="EA22" i="3"/>
  <c r="EI60" i="3"/>
  <c r="EF9" i="3"/>
  <c r="EK9" i="3"/>
  <c r="EC22" i="3"/>
  <c r="EL9" i="3"/>
  <c r="EL22" i="3"/>
  <c r="ED22" i="3"/>
  <c r="EH60" i="3"/>
  <c r="EA60" i="3"/>
  <c r="EB60" i="3"/>
  <c r="EG60" i="3"/>
  <c r="EB22" i="3"/>
  <c r="EL60" i="3"/>
  <c r="EF60" i="3"/>
  <c r="EC9" i="3"/>
  <c r="EK22" i="3"/>
  <c r="EE22" i="3"/>
  <c r="EC60" i="3"/>
  <c r="EJ9" i="3"/>
  <c r="EH9" i="3"/>
  <c r="EG22" i="3"/>
  <c r="EM9" i="3"/>
  <c r="EI22" i="3"/>
  <c r="EE60" i="3"/>
  <c r="EK60" i="3"/>
  <c r="EA9" i="3"/>
  <c r="EH22" i="3"/>
  <c r="EE9" i="3"/>
  <c r="J23" i="4" a="1"/>
  <c r="J23" i="4"/>
  <c r="J24" i="4" a="1"/>
  <c r="J24" i="4"/>
  <c r="M21" i="4" a="1"/>
  <c r="M21" i="4"/>
  <c r="F22" i="4"/>
  <c r="D22" i="4"/>
  <c r="I21" i="4" a="1"/>
  <c r="I21" i="4"/>
  <c r="K21" i="4" a="1"/>
  <c r="K21" i="4"/>
  <c r="M22" i="4" a="1"/>
  <c r="M22" i="4"/>
  <c r="V21" i="4"/>
  <c r="D23" i="4"/>
  <c r="I22" i="4" a="1"/>
  <c r="I22" i="4"/>
  <c r="K22" i="4" a="1"/>
  <c r="K22" i="4"/>
  <c r="J25" i="4" a="1"/>
  <c r="J25" i="4"/>
  <c r="M23" i="4" a="1"/>
  <c r="M23" i="4"/>
  <c r="V23" i="4"/>
  <c r="V22" i="4"/>
  <c r="D24" i="4"/>
  <c r="I23" i="4" a="1"/>
  <c r="I23" i="4"/>
  <c r="K23" i="4" a="1"/>
  <c r="K23" i="4"/>
  <c r="N19" i="4" a="1"/>
  <c r="N19" i="4"/>
  <c r="T19" i="4"/>
  <c r="O19" i="4"/>
  <c r="Q19" i="4"/>
  <c r="D25" i="4"/>
  <c r="I24" i="4" a="1"/>
  <c r="I24" i="4"/>
  <c r="K24" i="4" a="1"/>
  <c r="K24" i="4"/>
  <c r="J27" i="4" a="1"/>
  <c r="J27" i="4"/>
  <c r="M24" i="4" a="1"/>
  <c r="M24" i="4"/>
  <c r="V24" i="4"/>
  <c r="J26" i="4" a="1"/>
  <c r="J26" i="4"/>
  <c r="M25" i="4" a="1"/>
  <c r="M25" i="4"/>
  <c r="J28" i="4" a="1"/>
  <c r="J28" i="4"/>
  <c r="D26" i="4"/>
  <c r="I25" i="4" a="1"/>
  <c r="I25" i="4"/>
  <c r="K25" i="4" a="1"/>
  <c r="K25" i="4"/>
  <c r="N21" i="4" a="1"/>
  <c r="N21" i="4"/>
  <c r="Q21" i="4"/>
  <c r="N23" i="4" a="1"/>
  <c r="N23" i="4"/>
  <c r="O23" i="4"/>
  <c r="V25" i="4"/>
  <c r="J29" i="4" a="1"/>
  <c r="J29" i="4"/>
  <c r="N20" i="4" a="1"/>
  <c r="N20" i="4"/>
  <c r="N22" i="4" a="1"/>
  <c r="N22" i="4"/>
  <c r="N24" i="4" a="1"/>
  <c r="N24" i="4"/>
  <c r="N25" i="4" a="1"/>
  <c r="N25" i="4"/>
  <c r="T25" i="4"/>
  <c r="D27" i="4"/>
  <c r="I26" i="4" a="1"/>
  <c r="I26" i="4"/>
  <c r="K26" i="4" a="1"/>
  <c r="K26" i="4"/>
  <c r="N26" i="4" a="1"/>
  <c r="N26" i="4"/>
  <c r="M26" i="4" a="1"/>
  <c r="M26" i="4"/>
  <c r="P19" i="4"/>
  <c r="Q23" i="4"/>
  <c r="T23" i="4"/>
  <c r="T21" i="4"/>
  <c r="O21" i="4"/>
  <c r="O25" i="4"/>
  <c r="O26" i="4"/>
  <c r="Q26" i="4"/>
  <c r="Q25" i="4"/>
  <c r="N27" i="4" a="1"/>
  <c r="N27" i="4"/>
  <c r="M27" i="4" a="1"/>
  <c r="M27" i="4"/>
  <c r="V27" i="4"/>
  <c r="T26" i="4"/>
  <c r="T22" i="4"/>
  <c r="O22" i="4"/>
  <c r="Q22" i="4"/>
  <c r="O20" i="4"/>
  <c r="Q20" i="4"/>
  <c r="T20" i="4"/>
  <c r="J30" i="4" a="1"/>
  <c r="J30" i="4"/>
  <c r="D28" i="4"/>
  <c r="I27" i="4" a="1"/>
  <c r="I27" i="4"/>
  <c r="K27" i="4" a="1"/>
  <c r="K27" i="4"/>
  <c r="Q24" i="4"/>
  <c r="T24" i="4"/>
  <c r="O24" i="4"/>
  <c r="V26" i="4"/>
  <c r="M28" i="4" a="1"/>
  <c r="M28" i="4"/>
  <c r="V28" i="4"/>
  <c r="N28" i="4" a="1"/>
  <c r="N28" i="4"/>
  <c r="T27" i="4"/>
  <c r="O27" i="4"/>
  <c r="D29" i="4"/>
  <c r="I29" i="4" a="1"/>
  <c r="I29" i="4"/>
  <c r="K29" i="4" a="1"/>
  <c r="K29" i="4"/>
  <c r="I28" i="4" a="1"/>
  <c r="I28" i="4"/>
  <c r="K28" i="4" a="1"/>
  <c r="K28" i="4"/>
  <c r="J31" i="4" a="1"/>
  <c r="J31" i="4"/>
  <c r="Q27" i="4"/>
  <c r="P26" i="4"/>
  <c r="P25" i="4"/>
  <c r="P20" i="4"/>
  <c r="P23" i="4"/>
  <c r="P27" i="4"/>
  <c r="P24" i="4"/>
  <c r="P21" i="4"/>
  <c r="P22" i="4"/>
  <c r="Q28" i="4"/>
  <c r="M29" i="4" a="1"/>
  <c r="M29" i="4"/>
  <c r="Q29" i="4"/>
  <c r="N29" i="4" a="1"/>
  <c r="N29" i="4"/>
  <c r="T28" i="4"/>
  <c r="J32" i="4" a="1"/>
  <c r="J32" i="4"/>
  <c r="O28" i="4"/>
  <c r="D30" i="4"/>
  <c r="I30" i="4" a="1"/>
  <c r="I30" i="4"/>
  <c r="K30" i="4" a="1"/>
  <c r="K30" i="4"/>
  <c r="P28" i="4"/>
  <c r="O29" i="4"/>
  <c r="T29" i="4"/>
  <c r="V29" i="4"/>
  <c r="D31" i="4"/>
  <c r="I31" i="4" a="1"/>
  <c r="I31" i="4"/>
  <c r="K31" i="4" a="1"/>
  <c r="K31" i="4"/>
  <c r="J33" i="4" a="1"/>
  <c r="J33" i="4"/>
  <c r="M30" i="4" a="1"/>
  <c r="M30" i="4"/>
  <c r="V30" i="4"/>
  <c r="P29" i="4"/>
  <c r="D32" i="4"/>
  <c r="I32" i="4" a="1"/>
  <c r="I32" i="4"/>
  <c r="K32" i="4" a="1"/>
  <c r="K32" i="4"/>
  <c r="N31" i="4" a="1"/>
  <c r="N31" i="4"/>
  <c r="M31" i="4" a="1"/>
  <c r="M31" i="4"/>
  <c r="T31" i="4"/>
  <c r="V31" i="4"/>
  <c r="O31" i="4"/>
  <c r="J34" i="4" a="1"/>
  <c r="J34" i="4"/>
  <c r="N30" i="4" a="1"/>
  <c r="N30" i="4"/>
  <c r="Q31" i="4"/>
  <c r="D33" i="4"/>
  <c r="M32" i="4" a="1"/>
  <c r="M32" i="4"/>
  <c r="T30" i="4"/>
  <c r="O30" i="4"/>
  <c r="Q30" i="4"/>
  <c r="J35" i="4" a="1"/>
  <c r="J35" i="4"/>
  <c r="N32" i="4" a="1"/>
  <c r="N32" i="4"/>
  <c r="O32" i="4"/>
  <c r="D34" i="4"/>
  <c r="I33" i="4" a="1"/>
  <c r="I33" i="4"/>
  <c r="K33" i="4" a="1"/>
  <c r="K33" i="4"/>
  <c r="V32" i="4"/>
  <c r="M33" i="4" a="1"/>
  <c r="M33" i="4"/>
  <c r="V33" i="4"/>
  <c r="J37" i="4" a="1"/>
  <c r="J37" i="4"/>
  <c r="N33" i="4" a="1"/>
  <c r="N33" i="4"/>
  <c r="T33" i="4"/>
  <c r="T32" i="4"/>
  <c r="Q32" i="4"/>
  <c r="N34" i="4" a="1"/>
  <c r="N34" i="4"/>
  <c r="M34" i="4" a="1"/>
  <c r="M34" i="4"/>
  <c r="J36" i="4" a="1"/>
  <c r="J36" i="4"/>
  <c r="D35" i="4"/>
  <c r="I34" i="4" a="1"/>
  <c r="I34" i="4"/>
  <c r="K34" i="4" a="1"/>
  <c r="K34" i="4"/>
  <c r="P30" i="4"/>
  <c r="P31" i="4"/>
  <c r="O34" i="4"/>
  <c r="D36" i="4"/>
  <c r="I35" i="4" a="1"/>
  <c r="I35" i="4"/>
  <c r="K35" i="4" a="1"/>
  <c r="K35" i="4"/>
  <c r="Q33" i="4"/>
  <c r="T34" i="4"/>
  <c r="M35" i="4" a="1"/>
  <c r="M35" i="4"/>
  <c r="N35" i="4" a="1"/>
  <c r="N35" i="4"/>
  <c r="Q34" i="4"/>
  <c r="V34" i="4"/>
  <c r="J38" i="4" a="1"/>
  <c r="J38" i="4"/>
  <c r="O33" i="4"/>
  <c r="Q35" i="4"/>
  <c r="T35" i="4"/>
  <c r="M36" i="4" a="1"/>
  <c r="M36" i="4"/>
  <c r="V36" i="4"/>
  <c r="N36" i="4" a="1"/>
  <c r="N36" i="4"/>
  <c r="O35" i="4"/>
  <c r="V35" i="4"/>
  <c r="D37" i="4"/>
  <c r="I37" i="4" a="1"/>
  <c r="I37" i="4"/>
  <c r="K37" i="4" a="1"/>
  <c r="K37" i="4"/>
  <c r="I36" i="4" a="1"/>
  <c r="I36" i="4"/>
  <c r="K36" i="4" a="1"/>
  <c r="K36" i="4"/>
  <c r="P34" i="4"/>
  <c r="P35" i="4"/>
  <c r="P33" i="4"/>
  <c r="P32" i="4"/>
  <c r="Q36" i="4"/>
  <c r="T36" i="4"/>
  <c r="P37" i="4"/>
  <c r="W37" i="4"/>
  <c r="V37" i="4"/>
  <c r="U37" i="4"/>
  <c r="T37" i="4"/>
  <c r="R37" i="4"/>
  <c r="Q37" i="4"/>
  <c r="O37" i="4"/>
  <c r="N37" i="4" a="1"/>
  <c r="N37" i="4"/>
  <c r="X37" i="4"/>
  <c r="M37" i="4" a="1"/>
  <c r="M37" i="4"/>
  <c r="AC38" i="4"/>
  <c r="AA38" i="4"/>
  <c r="Z38" i="4"/>
  <c r="Y38" i="4"/>
  <c r="AB38" i="4"/>
  <c r="AD38" i="4"/>
  <c r="J39" i="4" a="1"/>
  <c r="J39" i="4"/>
  <c r="K38" i="4" a="1"/>
  <c r="K38" i="4"/>
  <c r="D38" i="4"/>
  <c r="I38" i="4" a="1"/>
  <c r="I38" i="4"/>
  <c r="L38" i="4" a="1"/>
  <c r="L38" i="4"/>
  <c r="O36" i="4"/>
  <c r="P36" i="4"/>
  <c r="J41" i="4" a="1"/>
  <c r="J41" i="4"/>
  <c r="AC39" i="4"/>
  <c r="AA39" i="4"/>
  <c r="AD39" i="4"/>
  <c r="Y39" i="4"/>
  <c r="AB39" i="4"/>
  <c r="Z39" i="4"/>
  <c r="X38" i="4"/>
  <c r="P38" i="4"/>
  <c r="W38" i="4"/>
  <c r="U38" i="4"/>
  <c r="N38" i="4" a="1"/>
  <c r="N38" i="4"/>
  <c r="M38" i="4" a="1"/>
  <c r="M38" i="4"/>
  <c r="Q38" i="4"/>
  <c r="T38" i="4"/>
  <c r="O38" i="4"/>
  <c r="V38" i="4"/>
  <c r="R38" i="4"/>
  <c r="J40" i="4" a="1"/>
  <c r="J40" i="4"/>
  <c r="L39" i="4" a="1"/>
  <c r="L39" i="4"/>
  <c r="K39" i="4" a="1"/>
  <c r="K39" i="4"/>
  <c r="D39" i="4"/>
  <c r="I39" i="4" a="1"/>
  <c r="I39" i="4"/>
  <c r="D40" i="4"/>
  <c r="I40" i="4" a="1"/>
  <c r="I40" i="4"/>
  <c r="L40" i="4" a="1"/>
  <c r="L40" i="4"/>
  <c r="K40" i="4" a="1"/>
  <c r="K40" i="4"/>
  <c r="X39" i="4"/>
  <c r="V39" i="4"/>
  <c r="T39" i="4"/>
  <c r="R39" i="4"/>
  <c r="P39" i="4"/>
  <c r="O39" i="4"/>
  <c r="U39" i="4"/>
  <c r="M39" i="4" a="1"/>
  <c r="M39" i="4"/>
  <c r="Q39" i="4"/>
  <c r="W39" i="4"/>
  <c r="N39" i="4" a="1"/>
  <c r="N39" i="4"/>
  <c r="AD40" i="4"/>
  <c r="AB40" i="4"/>
  <c r="Z40" i="4"/>
  <c r="Y40" i="4"/>
  <c r="AA40" i="4"/>
  <c r="AC40" i="4"/>
  <c r="J42" i="4" a="1"/>
  <c r="J42" i="4"/>
  <c r="AD41" i="4"/>
  <c r="AB41" i="4"/>
  <c r="Z41" i="4"/>
  <c r="Y41" i="4"/>
  <c r="AA41" i="4"/>
  <c r="AC41" i="4"/>
  <c r="L41" i="4" a="1"/>
  <c r="L41" i="4"/>
  <c r="K41" i="4" a="1"/>
  <c r="K41" i="4"/>
  <c r="D41" i="4"/>
  <c r="I41" i="4" a="1"/>
  <c r="I41" i="4"/>
  <c r="W40" i="4"/>
  <c r="V40" i="4"/>
  <c r="U40" i="4"/>
  <c r="T40" i="4"/>
  <c r="R40" i="4"/>
  <c r="Q40" i="4"/>
  <c r="X40" i="4"/>
  <c r="P40" i="4"/>
  <c r="N40" i="4" a="1"/>
  <c r="N40" i="4"/>
  <c r="O40" i="4"/>
  <c r="M40" i="4" a="1"/>
  <c r="M40" i="4"/>
  <c r="J43" i="4" a="1"/>
  <c r="J43" i="4"/>
  <c r="P41" i="4"/>
  <c r="W41" i="4"/>
  <c r="V41" i="4"/>
  <c r="U41" i="4"/>
  <c r="T41" i="4"/>
  <c r="Q41" i="4"/>
  <c r="X41" i="4"/>
  <c r="R41" i="4"/>
  <c r="N41" i="4" a="1"/>
  <c r="N41" i="4"/>
  <c r="M41" i="4" a="1"/>
  <c r="M41" i="4"/>
  <c r="O41" i="4"/>
  <c r="J44" i="4" a="1"/>
  <c r="J44" i="4"/>
  <c r="AC42" i="4"/>
  <c r="AA42" i="4"/>
  <c r="AB42" i="4"/>
  <c r="AD42" i="4"/>
  <c r="Z42" i="4"/>
  <c r="Y42" i="4"/>
  <c r="L42" i="4" a="1"/>
  <c r="L42" i="4"/>
  <c r="K42" i="4" a="1"/>
  <c r="K42" i="4"/>
  <c r="D42" i="4"/>
  <c r="I42" i="4" a="1"/>
  <c r="I42" i="4"/>
  <c r="L43" i="4" a="1"/>
  <c r="L43" i="4"/>
  <c r="K43" i="4" a="1"/>
  <c r="K43" i="4"/>
  <c r="D43" i="4"/>
  <c r="I43" i="4" a="1"/>
  <c r="I43" i="4"/>
  <c r="AC43" i="4"/>
  <c r="AA43" i="4"/>
  <c r="Z43" i="4"/>
  <c r="Y43" i="4"/>
  <c r="AB43" i="4"/>
  <c r="AD43" i="4"/>
  <c r="V42" i="4"/>
  <c r="T42" i="4"/>
  <c r="Q42" i="4"/>
  <c r="R42" i="4"/>
  <c r="O42" i="4"/>
  <c r="M42" i="4" a="1"/>
  <c r="M42" i="4"/>
  <c r="U42" i="4"/>
  <c r="P42" i="4"/>
  <c r="X42" i="4"/>
  <c r="N42" i="4" a="1"/>
  <c r="N42" i="4"/>
  <c r="W42" i="4"/>
  <c r="J46" i="4" a="1"/>
  <c r="J46" i="4"/>
  <c r="AD44" i="4"/>
  <c r="AB44" i="4"/>
  <c r="Z44" i="4"/>
  <c r="Y44" i="4"/>
  <c r="AC44" i="4"/>
  <c r="AA44" i="4"/>
  <c r="J45" i="4" a="1"/>
  <c r="J45" i="4"/>
  <c r="X43" i="4"/>
  <c r="W43" i="4"/>
  <c r="U43" i="4"/>
  <c r="P43" i="4"/>
  <c r="O43" i="4"/>
  <c r="V43" i="4"/>
  <c r="R43" i="4"/>
  <c r="M43" i="4" a="1"/>
  <c r="M43" i="4"/>
  <c r="T43" i="4"/>
  <c r="Q43" i="4"/>
  <c r="N43" i="4" a="1"/>
  <c r="N43" i="4"/>
  <c r="L44" i="4" a="1"/>
  <c r="L44" i="4"/>
  <c r="D44" i="4"/>
  <c r="I44" i="4" a="1"/>
  <c r="I44" i="4"/>
  <c r="K44" i="4" a="1"/>
  <c r="K44" i="4"/>
  <c r="AD45" i="4"/>
  <c r="AB45" i="4"/>
  <c r="Z45" i="4"/>
  <c r="Y45" i="4"/>
  <c r="AC45" i="4"/>
  <c r="AA45" i="4"/>
  <c r="K45" i="4" a="1"/>
  <c r="K45" i="4"/>
  <c r="D45" i="4"/>
  <c r="I45" i="4" a="1"/>
  <c r="I45" i="4"/>
  <c r="L45" i="4" a="1"/>
  <c r="L45" i="4"/>
  <c r="W44" i="4"/>
  <c r="V44" i="4"/>
  <c r="U44" i="4"/>
  <c r="T44" i="4"/>
  <c r="R44" i="4"/>
  <c r="Q44" i="4"/>
  <c r="X44" i="4"/>
  <c r="P44" i="4"/>
  <c r="N44" i="4" a="1"/>
  <c r="N44" i="4"/>
  <c r="O44" i="4"/>
  <c r="M44" i="4" a="1"/>
  <c r="M44" i="4"/>
  <c r="P45" i="4"/>
  <c r="W45" i="4"/>
  <c r="V45" i="4"/>
  <c r="U45" i="4"/>
  <c r="T45" i="4"/>
  <c r="R45" i="4"/>
  <c r="N45" i="4" a="1"/>
  <c r="N45" i="4"/>
  <c r="O45" i="4"/>
  <c r="X45" i="4"/>
  <c r="Q45" i="4"/>
  <c r="M45" i="4" a="1"/>
  <c r="M45" i="4"/>
  <c r="K46" i="4" a="1"/>
  <c r="K46" i="4"/>
  <c r="D46" i="4"/>
  <c r="I46" i="4" a="1"/>
  <c r="I46" i="4"/>
  <c r="L46" i="4" a="1"/>
  <c r="L46" i="4"/>
  <c r="AC46" i="4"/>
  <c r="AA46" i="4"/>
  <c r="Z46" i="4"/>
  <c r="Y46" i="4"/>
  <c r="AD46" i="4"/>
  <c r="AB46" i="4"/>
  <c r="J47" i="4" a="1"/>
  <c r="J47" i="4"/>
  <c r="J48" i="4" a="1"/>
  <c r="J48" i="4"/>
  <c r="AC47" i="4"/>
  <c r="AA47" i="4"/>
  <c r="AD47" i="4"/>
  <c r="Z47" i="4"/>
  <c r="Y47" i="4"/>
  <c r="AB47" i="4"/>
  <c r="L47" i="4" a="1"/>
  <c r="L47" i="4"/>
  <c r="K47" i="4" a="1"/>
  <c r="K47" i="4"/>
  <c r="D47" i="4"/>
  <c r="I47" i="4" a="1"/>
  <c r="I47" i="4"/>
  <c r="X46" i="4"/>
  <c r="Q46" i="4"/>
  <c r="W46" i="4"/>
  <c r="U46" i="4"/>
  <c r="R46" i="4"/>
  <c r="N46" i="4" a="1"/>
  <c r="N46" i="4"/>
  <c r="M46" i="4" a="1"/>
  <c r="M46" i="4"/>
  <c r="V46" i="4"/>
  <c r="P46" i="4"/>
  <c r="T46" i="4"/>
  <c r="O46" i="4"/>
  <c r="J49" i="4" a="1"/>
  <c r="J49" i="4"/>
  <c r="L48" i="4" a="1"/>
  <c r="L48" i="4"/>
  <c r="D48" i="4"/>
  <c r="I48" i="4" a="1"/>
  <c r="I48" i="4"/>
  <c r="K48" i="4" a="1"/>
  <c r="K48" i="4"/>
  <c r="N18" i="4" a="1"/>
  <c r="N18" i="4"/>
  <c r="AD48" i="4"/>
  <c r="AB48" i="4"/>
  <c r="Z48" i="4"/>
  <c r="Y48" i="4"/>
  <c r="AA48" i="4"/>
  <c r="AC48" i="4"/>
  <c r="X47" i="4"/>
  <c r="V47" i="4"/>
  <c r="T47" i="4"/>
  <c r="Q47" i="4"/>
  <c r="O47" i="4"/>
  <c r="W47" i="4"/>
  <c r="M47" i="4" a="1"/>
  <c r="M47" i="4"/>
  <c r="U47" i="4"/>
  <c r="R47" i="4"/>
  <c r="P47" i="4"/>
  <c r="N47" i="4" a="1"/>
  <c r="N47" i="4"/>
  <c r="L49" i="4" a="1"/>
  <c r="L49" i="4"/>
  <c r="K49" i="4" a="1"/>
  <c r="K49" i="4"/>
  <c r="D49" i="4"/>
  <c r="I49" i="4" a="1"/>
  <c r="I49" i="4"/>
  <c r="J50" i="4" a="1"/>
  <c r="J50" i="4"/>
  <c r="AA49" i="4"/>
  <c r="AC49" i="4"/>
  <c r="AB49" i="4"/>
  <c r="Z49" i="4"/>
  <c r="Y49" i="4"/>
  <c r="AD49" i="4"/>
  <c r="Q18" i="4"/>
  <c r="T18" i="4"/>
  <c r="O18" i="4"/>
  <c r="W48" i="4"/>
  <c r="V48" i="4"/>
  <c r="U48" i="4"/>
  <c r="T48" i="4"/>
  <c r="R48" i="4"/>
  <c r="Q48" i="4"/>
  <c r="X48" i="4"/>
  <c r="P48" i="4"/>
  <c r="O48" i="4"/>
  <c r="N48" i="4" a="1"/>
  <c r="N48" i="4"/>
  <c r="M48" i="4" a="1"/>
  <c r="M48" i="4"/>
  <c r="P18" i="4"/>
  <c r="K50" i="4" a="1"/>
  <c r="K50" i="4"/>
  <c r="D50" i="4"/>
  <c r="I50" i="4" a="1"/>
  <c r="I50" i="4"/>
  <c r="L50" i="4" a="1"/>
  <c r="L50" i="4"/>
  <c r="AC50" i="4"/>
  <c r="AB50" i="4"/>
  <c r="Y50" i="4"/>
  <c r="AA50" i="4"/>
  <c r="Z50" i="4"/>
  <c r="AD50" i="4"/>
  <c r="M49" i="4" a="1"/>
  <c r="M49" i="4"/>
  <c r="P49" i="4"/>
  <c r="Q49" i="4"/>
  <c r="R49" i="4"/>
  <c r="X49" i="4"/>
  <c r="V49" i="4"/>
  <c r="W49" i="4"/>
  <c r="U49" i="4"/>
  <c r="O49" i="4"/>
  <c r="T49" i="4"/>
  <c r="N49" i="4" a="1"/>
  <c r="N49" i="4"/>
  <c r="J51" i="4" a="1"/>
  <c r="J51" i="4"/>
  <c r="L36" i="4" a="1"/>
  <c r="L36" i="4"/>
  <c r="L33" i="4" a="1"/>
  <c r="L33" i="4"/>
  <c r="L34" i="4" a="1"/>
  <c r="L34" i="4"/>
  <c r="L31" i="4" a="1"/>
  <c r="L31" i="4"/>
  <c r="L32" i="4" a="1"/>
  <c r="L32" i="4"/>
  <c r="L30" i="4" a="1"/>
  <c r="L30" i="4"/>
  <c r="L28" i="4" a="1"/>
  <c r="L28" i="4"/>
  <c r="L25" i="4" a="1"/>
  <c r="L25" i="4"/>
  <c r="L26" i="4" a="1"/>
  <c r="L26" i="4"/>
  <c r="L21" i="4" a="1"/>
  <c r="L21" i="4"/>
  <c r="L22" i="4" a="1"/>
  <c r="L22" i="4"/>
  <c r="L20" i="4" a="1"/>
  <c r="L20" i="4"/>
  <c r="L16" i="4" a="1"/>
  <c r="L16" i="4"/>
  <c r="L24" i="4" a="1"/>
  <c r="L24" i="4"/>
  <c r="R29" i="4"/>
  <c r="R30" i="4"/>
  <c r="R19" i="4"/>
  <c r="R31" i="4"/>
  <c r="R18" i="4"/>
  <c r="S18" i="4"/>
  <c r="U50" i="4"/>
  <c r="O50" i="4"/>
  <c r="T50" i="4"/>
  <c r="R50" i="4"/>
  <c r="X50" i="4"/>
  <c r="N50" i="4" a="1"/>
  <c r="N50" i="4"/>
  <c r="V50" i="4"/>
  <c r="W50" i="4"/>
  <c r="Q50" i="4"/>
  <c r="M50" i="4" a="1"/>
  <c r="M50" i="4"/>
  <c r="P50" i="4"/>
  <c r="J52" i="4" a="1"/>
  <c r="J52" i="4"/>
  <c r="AB51" i="4"/>
  <c r="AD51" i="4"/>
  <c r="Y51" i="4"/>
  <c r="AA51" i="4"/>
  <c r="AC51" i="4"/>
  <c r="Z51" i="4"/>
  <c r="D51" i="4"/>
  <c r="I51" i="4" a="1"/>
  <c r="I51" i="4"/>
  <c r="L51" i="4" a="1"/>
  <c r="L51" i="4"/>
  <c r="K51" i="4" a="1"/>
  <c r="K51" i="4"/>
  <c r="U29" i="4"/>
  <c r="J53" i="4" a="1"/>
  <c r="J53" i="4"/>
  <c r="T51" i="4"/>
  <c r="U51" i="4"/>
  <c r="O51" i="4"/>
  <c r="N51" i="4" a="1"/>
  <c r="N51" i="4"/>
  <c r="V51" i="4"/>
  <c r="P51" i="4"/>
  <c r="Q51" i="4"/>
  <c r="M51" i="4" a="1"/>
  <c r="M51" i="4"/>
  <c r="X51" i="4"/>
  <c r="R51" i="4"/>
  <c r="W51" i="4"/>
  <c r="K52" i="4" a="1"/>
  <c r="K52" i="4"/>
  <c r="L52" i="4" a="1"/>
  <c r="L52" i="4"/>
  <c r="D52" i="4"/>
  <c r="I52" i="4" a="1"/>
  <c r="I52" i="4"/>
  <c r="AB52" i="4"/>
  <c r="AD52" i="4"/>
  <c r="AC52" i="4"/>
  <c r="Z52" i="4"/>
  <c r="Y52" i="4"/>
  <c r="AA52" i="4"/>
  <c r="W29" i="4"/>
  <c r="K53" i="4" a="1"/>
  <c r="K53" i="4"/>
  <c r="L53" i="4" a="1"/>
  <c r="L53" i="4"/>
  <c r="D53" i="4"/>
  <c r="I53" i="4" a="1"/>
  <c r="I53" i="4"/>
  <c r="Z53" i="4"/>
  <c r="AC53" i="4"/>
  <c r="AD53" i="4"/>
  <c r="Y53" i="4"/>
  <c r="AB53" i="4"/>
  <c r="AA53" i="4"/>
  <c r="J54" i="4" a="1"/>
  <c r="J54" i="4"/>
  <c r="X52" i="4"/>
  <c r="V52" i="4"/>
  <c r="W52" i="4"/>
  <c r="N52" i="4" a="1"/>
  <c r="N52" i="4"/>
  <c r="R52" i="4"/>
  <c r="T52" i="4"/>
  <c r="M52" i="4" a="1"/>
  <c r="M52" i="4"/>
  <c r="P52" i="4"/>
  <c r="Q52" i="4"/>
  <c r="O52" i="4"/>
  <c r="U52" i="4"/>
  <c r="X29" i="4"/>
  <c r="AC54" i="4"/>
  <c r="AB54" i="4"/>
  <c r="Y54" i="4"/>
  <c r="AA54" i="4"/>
  <c r="Z54" i="4"/>
  <c r="AD54" i="4"/>
  <c r="K54" i="4" a="1"/>
  <c r="K54" i="4"/>
  <c r="D54" i="4"/>
  <c r="I54" i="4" a="1"/>
  <c r="I54" i="4"/>
  <c r="L54" i="4" a="1"/>
  <c r="L54" i="4"/>
  <c r="J55" i="4" a="1"/>
  <c r="J55" i="4"/>
  <c r="M53" i="4" a="1"/>
  <c r="M53" i="4"/>
  <c r="P53" i="4"/>
  <c r="U53" i="4"/>
  <c r="O53" i="4"/>
  <c r="T53" i="4"/>
  <c r="N53" i="4" a="1"/>
  <c r="N53" i="4"/>
  <c r="W53" i="4"/>
  <c r="R53" i="4"/>
  <c r="X53" i="4"/>
  <c r="V53" i="4"/>
  <c r="Q53" i="4"/>
  <c r="L29" i="4" a="1"/>
  <c r="L29" i="4"/>
  <c r="L17" i="4" a="1"/>
  <c r="L17" i="4"/>
  <c r="L37" i="4" a="1"/>
  <c r="L37" i="4"/>
  <c r="R35" i="4"/>
  <c r="R34" i="4"/>
  <c r="R33" i="4"/>
  <c r="R36" i="4"/>
  <c r="R32" i="4"/>
  <c r="R15" i="4"/>
  <c r="R16" i="4"/>
  <c r="R25" i="4"/>
  <c r="R28" i="4"/>
  <c r="R23" i="4"/>
  <c r="R26" i="4"/>
  <c r="R27" i="4"/>
  <c r="R20" i="4"/>
  <c r="R21" i="4"/>
  <c r="R24" i="4"/>
  <c r="D55" i="4"/>
  <c r="I55" i="4" a="1"/>
  <c r="I55" i="4"/>
  <c r="L55" i="4" a="1"/>
  <c r="L55" i="4"/>
  <c r="K55" i="4" a="1"/>
  <c r="K55" i="4"/>
  <c r="AB55" i="4"/>
  <c r="AD55" i="4"/>
  <c r="Z55" i="4"/>
  <c r="Y55" i="4"/>
  <c r="AA55" i="4"/>
  <c r="AC55" i="4"/>
  <c r="J56" i="4" a="1"/>
  <c r="J56" i="4"/>
  <c r="U54" i="4"/>
  <c r="O54" i="4"/>
  <c r="X54" i="4"/>
  <c r="M54" i="4" a="1"/>
  <c r="M54" i="4"/>
  <c r="R54" i="4"/>
  <c r="T54" i="4"/>
  <c r="Q54" i="4"/>
  <c r="P54" i="4"/>
  <c r="N54" i="4" a="1"/>
  <c r="N54" i="4"/>
  <c r="V54" i="4"/>
  <c r="W54" i="4"/>
  <c r="L35" i="4" a="1"/>
  <c r="L35" i="4"/>
  <c r="L27" i="4" a="1"/>
  <c r="L27" i="4"/>
  <c r="U19" i="4"/>
  <c r="U31" i="4"/>
  <c r="U30" i="4"/>
  <c r="U24" i="4"/>
  <c r="U20" i="4"/>
  <c r="U27" i="4"/>
  <c r="U23" i="4"/>
  <c r="U25" i="4"/>
  <c r="U15" i="4"/>
  <c r="U32" i="4"/>
  <c r="U33" i="4"/>
  <c r="U35" i="4"/>
  <c r="U21" i="4"/>
  <c r="U26" i="4"/>
  <c r="U28" i="4"/>
  <c r="U16" i="4"/>
  <c r="U36" i="4"/>
  <c r="U34" i="4"/>
  <c r="W31" i="4"/>
  <c r="W19" i="4"/>
  <c r="W30" i="4"/>
  <c r="W24" i="4"/>
  <c r="W21" i="4"/>
  <c r="W20" i="4"/>
  <c r="W35" i="4"/>
  <c r="W32" i="4"/>
  <c r="W36" i="4"/>
  <c r="W28" i="4"/>
  <c r="W34" i="4"/>
  <c r="W16" i="4"/>
  <c r="W15" i="4"/>
  <c r="W23" i="4"/>
  <c r="W27" i="4"/>
  <c r="W26" i="4"/>
  <c r="W33" i="4"/>
  <c r="W25" i="4"/>
  <c r="J57" i="4" a="1"/>
  <c r="J57" i="4"/>
  <c r="T55" i="4"/>
  <c r="U55" i="4"/>
  <c r="M55" i="4" a="1"/>
  <c r="M55" i="4"/>
  <c r="X55" i="4"/>
  <c r="R55" i="4"/>
  <c r="O55" i="4"/>
  <c r="P55" i="4"/>
  <c r="W55" i="4"/>
  <c r="N55" i="4" a="1"/>
  <c r="N55" i="4"/>
  <c r="V55" i="4"/>
  <c r="Q55" i="4"/>
  <c r="AB56" i="4"/>
  <c r="AD56" i="4"/>
  <c r="Y56" i="4"/>
  <c r="AC56" i="4"/>
  <c r="AA56" i="4"/>
  <c r="Z56" i="4"/>
  <c r="K56" i="4" a="1"/>
  <c r="K56" i="4"/>
  <c r="D56" i="4"/>
  <c r="I56" i="4" a="1"/>
  <c r="I56" i="4"/>
  <c r="L56" i="4" a="1"/>
  <c r="L56" i="4"/>
  <c r="X30" i="4"/>
  <c r="X19" i="4"/>
  <c r="X31" i="4"/>
  <c r="X25" i="4"/>
  <c r="X33" i="4"/>
  <c r="X26" i="4"/>
  <c r="X27" i="4"/>
  <c r="X23" i="4"/>
  <c r="X15" i="4"/>
  <c r="X16" i="4"/>
  <c r="X34" i="4"/>
  <c r="X28" i="4"/>
  <c r="X36" i="4"/>
  <c r="X32" i="4"/>
  <c r="X35" i="4"/>
  <c r="X20" i="4"/>
  <c r="X21" i="4"/>
  <c r="X24" i="4"/>
  <c r="AA28" i="4"/>
  <c r="Y16" i="4"/>
  <c r="AA16" i="4"/>
  <c r="F37" i="5" a="1"/>
  <c r="F37" i="5"/>
  <c r="Z16" i="4"/>
  <c r="AB16" i="4"/>
  <c r="Y36" i="4"/>
  <c r="L57" i="4" a="1"/>
  <c r="L57" i="4"/>
  <c r="D57" i="4"/>
  <c r="I57" i="4" a="1"/>
  <c r="I57" i="4"/>
  <c r="K57" i="4" a="1"/>
  <c r="K57" i="4"/>
  <c r="AD57" i="4"/>
  <c r="Y57" i="4"/>
  <c r="AA57" i="4"/>
  <c r="AB57" i="4"/>
  <c r="Z57" i="4"/>
  <c r="AC57" i="4"/>
  <c r="W56" i="4"/>
  <c r="N56" i="4" a="1"/>
  <c r="N56" i="4"/>
  <c r="V56" i="4"/>
  <c r="M56" i="4" a="1"/>
  <c r="M56" i="4"/>
  <c r="P56" i="4"/>
  <c r="Q56" i="4"/>
  <c r="R56" i="4"/>
  <c r="O56" i="4"/>
  <c r="T56" i="4"/>
  <c r="U56" i="4"/>
  <c r="X56" i="4"/>
  <c r="J58" i="4" a="1"/>
  <c r="J58" i="4"/>
  <c r="N37" i="5" a="1"/>
  <c r="N37" i="5"/>
  <c r="AQ31" i="4"/>
  <c r="Y37" i="4"/>
  <c r="AA26" i="4"/>
  <c r="Z21" i="4"/>
  <c r="Y31" i="4"/>
  <c r="Y20" i="4"/>
  <c r="Z28" i="4"/>
  <c r="N36" i="5" a="1"/>
  <c r="N36" i="5"/>
  <c r="M36" i="5" a="1"/>
  <c r="M36" i="5"/>
  <c r="AP30" i="4"/>
  <c r="Y34" i="4"/>
  <c r="AA31" i="4"/>
  <c r="Z31" i="4"/>
  <c r="AB31" i="4"/>
  <c r="AA30" i="4"/>
  <c r="Y30" i="4"/>
  <c r="Z30" i="4"/>
  <c r="AB30" i="4"/>
  <c r="AA36" i="4"/>
  <c r="J39" i="5" a="1"/>
  <c r="J39" i="5"/>
  <c r="AJ33" i="4"/>
  <c r="Z35" i="4"/>
  <c r="Y26" i="4"/>
  <c r="AA29" i="4"/>
  <c r="AA34" i="4"/>
  <c r="J37" i="5" a="1"/>
  <c r="J37" i="5"/>
  <c r="AJ31" i="4"/>
  <c r="Y35" i="4"/>
  <c r="Z17" i="4"/>
  <c r="AA20" i="4"/>
  <c r="Z29" i="4"/>
  <c r="Z20" i="4"/>
  <c r="AB20" i="4"/>
  <c r="Z27" i="4"/>
  <c r="AA35" i="4"/>
  <c r="Y24" i="4"/>
  <c r="F36" i="5" a="1"/>
  <c r="F36" i="5"/>
  <c r="AJ17" i="4"/>
  <c r="Z34" i="4"/>
  <c r="AA27" i="4"/>
  <c r="AC27" i="4"/>
  <c r="AA25" i="4"/>
  <c r="Z33" i="4"/>
  <c r="Y28" i="4"/>
  <c r="J38" i="5" a="1"/>
  <c r="J38" i="5"/>
  <c r="I38" i="5" a="1"/>
  <c r="I38" i="5"/>
  <c r="AI32" i="4"/>
  <c r="Z37" i="4"/>
  <c r="AA33" i="4"/>
  <c r="Z26" i="4"/>
  <c r="Y29" i="4"/>
  <c r="Z25" i="4"/>
  <c r="N39" i="5" a="1"/>
  <c r="N39" i="5"/>
  <c r="M39" i="5" a="1"/>
  <c r="M39" i="5"/>
  <c r="AP33" i="4"/>
  <c r="AA24" i="4"/>
  <c r="AA37" i="4"/>
  <c r="AA32" i="4"/>
  <c r="Z36" i="4"/>
  <c r="Z32" i="4"/>
  <c r="Y27" i="4"/>
  <c r="Y25" i="4"/>
  <c r="Z24" i="4"/>
  <c r="AB24" i="4"/>
  <c r="AA21" i="4"/>
  <c r="N38" i="5" a="1"/>
  <c r="N38" i="5"/>
  <c r="M38" i="5" a="1"/>
  <c r="M38" i="5"/>
  <c r="AP32" i="4"/>
  <c r="Y32" i="4"/>
  <c r="J36" i="5" a="1"/>
  <c r="J36" i="5"/>
  <c r="AJ30" i="4"/>
  <c r="AA17" i="4"/>
  <c r="Y33" i="4"/>
  <c r="E37" i="5" a="1"/>
  <c r="E37" i="5"/>
  <c r="AI18" i="4"/>
  <c r="AJ18" i="4"/>
  <c r="AD16" i="4"/>
  <c r="AC16" i="4"/>
  <c r="AD29" i="4"/>
  <c r="AD28" i="4"/>
  <c r="AB28" i="4"/>
  <c r="AB17" i="4"/>
  <c r="AC28" i="4"/>
  <c r="E36" i="5" a="1"/>
  <c r="E36" i="5"/>
  <c r="AI17" i="4"/>
  <c r="K58" i="4" a="1"/>
  <c r="K58" i="4"/>
  <c r="D58" i="4"/>
  <c r="I58" i="4" a="1"/>
  <c r="I58" i="4"/>
  <c r="J59" i="4" a="1"/>
  <c r="J59" i="4"/>
  <c r="L58" i="4" a="1"/>
  <c r="L58" i="4"/>
  <c r="AA58" i="4"/>
  <c r="AD58" i="4"/>
  <c r="Y58" i="4"/>
  <c r="Z58" i="4"/>
  <c r="AB58" i="4"/>
  <c r="AC58" i="4"/>
  <c r="V57" i="4"/>
  <c r="W57" i="4"/>
  <c r="N57" i="4" a="1"/>
  <c r="N57" i="4"/>
  <c r="M57" i="4" a="1"/>
  <c r="M57" i="4"/>
  <c r="P57" i="4"/>
  <c r="Q57" i="4"/>
  <c r="O57" i="4"/>
  <c r="T57" i="4"/>
  <c r="U57" i="4"/>
  <c r="R57" i="4"/>
  <c r="X57" i="4"/>
  <c r="AB21" i="4"/>
  <c r="AQ30" i="4"/>
  <c r="M37" i="5" a="1"/>
  <c r="M37" i="5"/>
  <c r="AP31" i="4"/>
  <c r="I37" i="5" a="1"/>
  <c r="I37" i="5"/>
  <c r="AI31" i="4"/>
  <c r="AB26" i="4"/>
  <c r="AQ33" i="4"/>
  <c r="AJ32" i="4"/>
  <c r="AD26" i="4"/>
  <c r="AC35" i="4"/>
  <c r="AC37" i="4"/>
  <c r="AC26" i="4"/>
  <c r="AD21" i="4"/>
  <c r="AD34" i="4"/>
  <c r="AC21" i="4"/>
  <c r="AD17" i="4"/>
  <c r="AB36" i="4"/>
  <c r="AB37" i="4"/>
  <c r="AC29" i="4"/>
  <c r="AC32" i="4"/>
  <c r="AD25" i="4"/>
  <c r="AB33" i="4"/>
  <c r="AC20" i="4"/>
  <c r="I39" i="5" a="1"/>
  <c r="I39" i="5"/>
  <c r="AI33" i="4"/>
  <c r="AQ32" i="4"/>
  <c r="AB32" i="4"/>
  <c r="AD27" i="4"/>
  <c r="AD20" i="4"/>
  <c r="AB34" i="4"/>
  <c r="AB35" i="4"/>
  <c r="AD30" i="4"/>
  <c r="AC30" i="4"/>
  <c r="AB25" i="4"/>
  <c r="AD31" i="4"/>
  <c r="AC31" i="4"/>
  <c r="AD24" i="4"/>
  <c r="AD35" i="4"/>
  <c r="AB29" i="4"/>
  <c r="AC34" i="4"/>
  <c r="I36" i="5" a="1"/>
  <c r="I36" i="5"/>
  <c r="AI30" i="4"/>
  <c r="AD32" i="4"/>
  <c r="AC24" i="4"/>
  <c r="AC33" i="4"/>
  <c r="AC25" i="4"/>
  <c r="AD36" i="4"/>
  <c r="AB27" i="4"/>
  <c r="AC17" i="4"/>
  <c r="AC36" i="4"/>
  <c r="AD37" i="4"/>
  <c r="AD33" i="4"/>
  <c r="AD59" i="4"/>
  <c r="AC59" i="4"/>
  <c r="AA59" i="4"/>
  <c r="Y59" i="4"/>
  <c r="AB59" i="4"/>
  <c r="Z59" i="4"/>
  <c r="J60" i="4" a="1"/>
  <c r="J60" i="4"/>
  <c r="R58" i="4"/>
  <c r="X58" i="4"/>
  <c r="U58" i="4"/>
  <c r="O58" i="4"/>
  <c r="N58" i="4" a="1"/>
  <c r="N58" i="4"/>
  <c r="P58" i="4"/>
  <c r="V58" i="4"/>
  <c r="W58" i="4"/>
  <c r="T58" i="4"/>
  <c r="M58" i="4" a="1"/>
  <c r="M58" i="4"/>
  <c r="Q58" i="4"/>
  <c r="L59" i="4" a="1"/>
  <c r="L59" i="4"/>
  <c r="K59" i="4" a="1"/>
  <c r="K59" i="4"/>
  <c r="D59" i="4"/>
  <c r="I59" i="4" a="1"/>
  <c r="I59" i="4"/>
  <c r="Z60" i="4"/>
  <c r="AB60" i="4"/>
  <c r="AD60" i="4"/>
  <c r="Y60" i="4"/>
  <c r="AA60" i="4"/>
  <c r="AC60" i="4"/>
  <c r="K60" i="4" a="1"/>
  <c r="K60" i="4"/>
  <c r="D60" i="4"/>
  <c r="I60" i="4" a="1"/>
  <c r="I60" i="4"/>
  <c r="L60" i="4" a="1"/>
  <c r="L60" i="4"/>
  <c r="R59" i="4"/>
  <c r="M59" i="4" a="1"/>
  <c r="M59" i="4"/>
  <c r="W59" i="4"/>
  <c r="N59" i="4" a="1"/>
  <c r="N59" i="4"/>
  <c r="V59" i="4"/>
  <c r="X59" i="4"/>
  <c r="Q59" i="4"/>
  <c r="T59" i="4"/>
  <c r="O59" i="4"/>
  <c r="U59" i="4"/>
  <c r="P59" i="4"/>
  <c r="J61" i="4" a="1"/>
  <c r="J61" i="4"/>
  <c r="CF58" i="3" a="1"/>
  <c r="AO20" i="3" a="1"/>
  <c r="BK58" i="3" a="1"/>
  <c r="BC71" i="3" a="1"/>
  <c r="EL20" i="3" a="1"/>
  <c r="G71" i="3" a="1"/>
  <c r="O20" i="3" a="1"/>
  <c r="F58" i="3" a="1"/>
  <c r="EG58" i="3" a="1"/>
  <c r="BX71" i="3" a="1"/>
  <c r="AW71" i="3" a="1"/>
  <c r="O58" i="3" a="1"/>
  <c r="BJ58" i="3" a="1"/>
  <c r="BT58" i="3" a="1"/>
  <c r="DO58" i="3" a="1"/>
  <c r="CA71" i="3" a="1"/>
  <c r="DG20" i="3" a="1"/>
  <c r="DR20" i="3" a="1"/>
  <c r="BO58" i="3" a="1"/>
  <c r="AL20" i="3" a="1"/>
  <c r="P20" i="3" a="1"/>
  <c r="DW58" i="3" a="1"/>
  <c r="AI71" i="3" a="1"/>
  <c r="CM71" i="3" a="1"/>
  <c r="H71" i="3" a="1"/>
  <c r="EM58" i="3" a="1"/>
  <c r="CF20" i="3" a="1"/>
  <c r="DF58" i="3" a="1"/>
  <c r="AC58" i="3" a="1"/>
  <c r="AG20" i="3" a="1"/>
  <c r="BZ58" i="3" a="1"/>
  <c r="X20" i="3" a="1"/>
  <c r="AB58" i="3" a="1"/>
  <c r="EI20" i="3" a="1"/>
  <c r="BM58" i="3" a="1"/>
  <c r="BU71" i="3" a="1"/>
  <c r="AD20" i="3" a="1"/>
  <c r="BU20" i="3" a="1"/>
  <c r="AI58" i="3" a="1"/>
  <c r="W71" i="3" a="1"/>
  <c r="AS58" i="3" a="1"/>
  <c r="ED58" i="3" a="1"/>
  <c r="BM20" i="3" a="1"/>
  <c r="AS71" i="3" a="1"/>
  <c r="BE20" i="3" a="1"/>
  <c r="AU71" i="3" a="1"/>
  <c r="CP71" i="3" a="1"/>
  <c r="CP20" i="3" a="1"/>
  <c r="AZ58" i="3" a="1"/>
  <c r="CW20" i="3" a="1"/>
  <c r="BF71" i="3" a="1"/>
  <c r="DP71" i="3" a="1"/>
  <c r="N71" i="3" a="1"/>
  <c r="P58" i="3" a="1"/>
  <c r="AL58" i="3" a="1"/>
  <c r="U18" i="4"/>
  <c r="AP71" i="3" a="1"/>
  <c r="M58" i="3" a="1"/>
  <c r="ED20" i="3" a="1"/>
  <c r="DS71" i="3" a="1"/>
  <c r="AA71" i="3" a="1"/>
  <c r="M71" i="3" a="1"/>
  <c r="AP20" i="3" a="1"/>
  <c r="F20" i="3" a="1"/>
  <c r="EI58" i="3" a="1"/>
  <c r="CC58" i="3" a="1"/>
  <c r="EF58" i="3" a="1"/>
  <c r="DU71" i="3" a="1"/>
  <c r="DG58" i="3" a="1"/>
  <c r="AS20" i="3" a="1"/>
  <c r="AI20" i="3" a="1"/>
  <c r="S58" i="3" a="1"/>
  <c r="AH20" i="3" a="1"/>
  <c r="EC58" i="3" a="1"/>
  <c r="EG20" i="3" a="1"/>
  <c r="BU58" i="3" a="1"/>
  <c r="BX20" i="3" a="1"/>
  <c r="EB58" i="3" a="1"/>
  <c r="DR71" i="3" a="1"/>
  <c r="DX71" i="3" a="1"/>
  <c r="H20" i="3" a="1"/>
  <c r="CB71" i="3" a="1"/>
  <c r="CS20" i="3" a="1"/>
  <c r="EJ58" i="3" a="1"/>
  <c r="CI20" i="3" a="1"/>
  <c r="AM58" i="3" a="1"/>
  <c r="DN71" i="3" a="1"/>
  <c r="BD58" i="3" a="1"/>
  <c r="AG58" i="3" a="1"/>
  <c r="CV20" i="3" a="1"/>
  <c r="DQ20" i="3" a="1"/>
  <c r="BP20" i="3" a="1"/>
  <c r="EH20" i="3" a="1"/>
  <c r="DH20" i="3" a="1"/>
  <c r="AR71" i="3" a="1"/>
  <c r="CE20" i="3" a="1"/>
  <c r="BO20" i="3" a="1"/>
  <c r="DF71" i="3" a="1"/>
  <c r="AJ71" i="3" a="1"/>
  <c r="CU71" i="3" a="1"/>
  <c r="BY71" i="3" a="1"/>
  <c r="AE71" i="3" a="1"/>
  <c r="AA58" i="3" a="1"/>
  <c r="CO58" i="3" a="1"/>
  <c r="BS71" i="3" a="1"/>
  <c r="BR58" i="3" a="1"/>
  <c r="AH58" i="3" a="1"/>
  <c r="DS58" i="3" a="1"/>
  <c r="DB71" i="3" a="1"/>
  <c r="AE58" i="3" a="1"/>
  <c r="CV58" i="3" a="1"/>
  <c r="M20" i="3" a="1"/>
  <c r="EG71" i="3" a="1"/>
  <c r="AD58" i="3" a="1"/>
  <c r="AX71" i="3" a="1"/>
  <c r="DC71" i="3" a="1"/>
  <c r="DQ71" i="3" a="1"/>
  <c r="AE20" i="3" a="1"/>
  <c r="EC20" i="3" a="1"/>
  <c r="CE58" i="3" a="1"/>
  <c r="DR58" i="3" a="1"/>
  <c r="CV71" i="3" a="1"/>
  <c r="BN58" i="3" a="1"/>
  <c r="W58" i="3" a="1"/>
  <c r="CH71" i="3" a="1"/>
  <c r="CK58" i="3" a="1"/>
  <c r="CT58" i="3" a="1"/>
  <c r="CY71" i="3" a="1"/>
  <c r="CY58" i="3" a="1"/>
  <c r="DE20" i="3" a="1"/>
  <c r="DI71" i="3" a="1"/>
  <c r="DC20" i="3" a="1"/>
  <c r="DC58" i="3" a="1"/>
  <c r="EJ20" i="3" a="1"/>
  <c r="BG58" i="3" a="1"/>
  <c r="DK58" i="3" a="1"/>
  <c r="BM71" i="3" a="1"/>
  <c r="BP58" i="3" a="1"/>
  <c r="AJ20" i="3" a="1"/>
  <c r="CZ20" i="3" a="1"/>
  <c r="DM58" i="3" a="1"/>
  <c r="DX58" i="3" a="1"/>
  <c r="EL71" i="3" a="1"/>
  <c r="AO71" i="3" a="1"/>
  <c r="AK20" i="3" a="1"/>
  <c r="DP58" i="3" a="1"/>
  <c r="AA20" i="3" a="1"/>
  <c r="EF71" i="3" a="1"/>
  <c r="BW20" i="3" a="1"/>
  <c r="EJ71" i="3" a="1"/>
  <c r="DO20" i="3" a="1"/>
  <c r="CW71" i="3" a="1"/>
  <c r="Q71" i="3" a="1"/>
  <c r="BC58" i="3" a="1"/>
  <c r="CL58" i="3" a="1"/>
  <c r="AV20" i="3" a="1"/>
  <c r="BK71" i="3" a="1"/>
  <c r="CB20" i="3" a="1"/>
  <c r="AY58" i="3" a="1"/>
  <c r="EI71" i="3" a="1"/>
  <c r="BX58" i="3" a="1"/>
  <c r="DB58" i="3" a="1"/>
  <c r="DV71" i="3" a="1"/>
  <c r="CC20" i="3" a="1"/>
  <c r="V58" i="3" a="1"/>
  <c r="K20" i="3" a="1"/>
  <c r="BN71" i="3" a="1"/>
  <c r="F71" i="3" a="1"/>
  <c r="DW20" i="3" a="1"/>
  <c r="CE71" i="3" a="1"/>
  <c r="DN20" i="3" a="1"/>
  <c r="CL71" i="3" a="1"/>
  <c r="Y20" i="3" a="1"/>
  <c r="CO71" i="3" a="1"/>
  <c r="S20" i="3" a="1"/>
  <c r="EC71" i="3" a="1"/>
  <c r="AB71" i="3" a="1"/>
  <c r="BD20" i="3" a="1"/>
  <c r="CK20" i="3" a="1"/>
  <c r="CI58" i="3" a="1"/>
  <c r="AR58" i="3" a="1"/>
  <c r="DA58" i="3" a="1"/>
  <c r="BZ71" i="3" a="1"/>
  <c r="CZ58" i="3" a="1"/>
  <c r="K71" i="3" a="1"/>
  <c r="Q58" i="3" a="1"/>
  <c r="EE71" i="3" a="1"/>
  <c r="BI58" i="3" a="1"/>
  <c r="DN58" i="3" a="1"/>
  <c r="BA58" i="3" a="1"/>
  <c r="Z58" i="3" a="1"/>
  <c r="AM20" i="3" a="1"/>
  <c r="W20" i="3" a="1"/>
  <c r="CW58" i="3" a="1"/>
  <c r="BN20" i="3" a="1"/>
  <c r="DA20" i="3" a="1"/>
  <c r="DT71" i="3" a="1"/>
  <c r="CQ58" i="3" a="1"/>
  <c r="EL58" i="3" a="1"/>
  <c r="EH58" i="3" a="1"/>
  <c r="BE58" i="3" a="1"/>
  <c r="H58" i="3" a="1"/>
  <c r="EH71" i="3" a="1"/>
  <c r="DM71" i="3" a="1"/>
  <c r="CS71" i="3" a="1"/>
  <c r="CR71" i="3" a="1"/>
  <c r="BP71" i="3" a="1"/>
  <c r="BA20" i="3" a="1"/>
  <c r="G58" i="3" a="1"/>
  <c r="DQ58" i="3" a="1"/>
  <c r="BJ71" i="3" a="1"/>
  <c r="DT58" i="3" a="1"/>
  <c r="R22" i="4"/>
  <c r="CG71" i="3" a="1"/>
  <c r="DF20" i="3" a="1"/>
  <c r="AR20" i="3" a="1"/>
  <c r="EB71" i="3" a="1"/>
  <c r="AD71" i="3" a="1"/>
  <c r="R14" i="4"/>
  <c r="E20" i="3" a="1"/>
  <c r="DJ20" i="3" a="1"/>
  <c r="DT20" i="3" a="1"/>
  <c r="DU58" i="3" a="1"/>
  <c r="CD58" i="3" a="1"/>
  <c r="BW71" i="3" a="1"/>
  <c r="AW20" i="3" a="1"/>
  <c r="EA58" i="3" a="1"/>
  <c r="L58" i="3" a="1"/>
  <c r="EK71" i="3" a="1"/>
  <c r="BF58" i="3" a="1"/>
  <c r="I58" i="3" a="1"/>
  <c r="DH71" i="3" a="1"/>
  <c r="DY20" i="3" a="1"/>
  <c r="BC20" i="3" a="1"/>
  <c r="AN58" i="3" a="1"/>
  <c r="AJ58" i="3" a="1"/>
  <c r="DM20" i="3" a="1"/>
  <c r="CN71" i="3" a="1"/>
  <c r="J71" i="3" a="1"/>
  <c r="CN58" i="3" a="1"/>
  <c r="V71" i="3" a="1"/>
  <c r="BS20" i="3" a="1"/>
  <c r="DH58" i="3" a="1"/>
  <c r="Z71" i="3" a="1"/>
  <c r="DE58" i="3" a="1"/>
  <c r="T20" i="3" a="1"/>
  <c r="T58" i="3" a="1"/>
  <c r="EE20" i="3" a="1"/>
  <c r="CA20" i="3" a="1"/>
  <c r="AG71" i="3" a="1"/>
  <c r="CP58" i="3" a="1"/>
  <c r="J20" i="3" a="1"/>
  <c r="AM71" i="3" a="1"/>
  <c r="EK20" i="3" a="1"/>
  <c r="AX58" i="3" a="1"/>
  <c r="CA58" i="3" a="1"/>
  <c r="T71" i="3" a="1"/>
  <c r="EM71" i="3" a="1"/>
  <c r="CR58" i="3" a="1"/>
  <c r="DA71" i="3" a="1"/>
  <c r="BJ20" i="3" a="1"/>
  <c r="AX20" i="3" a="1"/>
  <c r="Y71" i="3" a="1"/>
  <c r="BA71" i="3" a="1"/>
  <c r="BR20" i="3" a="1"/>
  <c r="BF20" i="3" a="1"/>
  <c r="BQ20" i="3" a="1"/>
  <c r="DI58" i="3" a="1"/>
  <c r="DD58" i="3" a="1"/>
  <c r="BQ58" i="3" a="1"/>
  <c r="DU20" i="3" a="1"/>
  <c r="CT71" i="3" a="1"/>
  <c r="CK71" i="3" a="1"/>
  <c r="AQ58" i="3" a="1"/>
  <c r="AQ71" i="3" a="1"/>
  <c r="CQ20" i="3" a="1"/>
  <c r="CH20" i="3" a="1"/>
  <c r="AB20" i="3" a="1"/>
  <c r="Z20" i="3" a="1"/>
  <c r="E71" i="3" a="1"/>
  <c r="CZ71" i="3" a="1"/>
  <c r="DY71" i="3" a="1"/>
  <c r="CB58" i="3" a="1"/>
  <c r="CF71" i="3" a="1"/>
  <c r="BY20" i="3" a="1"/>
  <c r="U71" i="3" a="1"/>
  <c r="DP20" i="3" a="1"/>
  <c r="CN20" i="3" a="1"/>
  <c r="O71" i="3" a="1"/>
  <c r="BL58" i="3" a="1"/>
  <c r="DE71" i="3" a="1"/>
  <c r="AO58" i="3" a="1"/>
  <c r="DS20" i="3" a="1"/>
  <c r="AQ20" i="3" a="1"/>
  <c r="EF20" i="3" a="1"/>
  <c r="AH71" i="3" a="1"/>
  <c r="I20" i="3" a="1"/>
  <c r="CI71" i="3" a="1"/>
  <c r="BQ71" i="3" a="1"/>
  <c r="U58" i="3" a="1"/>
  <c r="BB58" i="3" a="1"/>
  <c r="AV71" i="3" a="1"/>
  <c r="CD20" i="3" a="1"/>
  <c r="CT20" i="3" a="1"/>
  <c r="CM20" i="3" a="1"/>
  <c r="AZ71" i="3" a="1"/>
  <c r="BG71" i="3" a="1"/>
  <c r="CY20" i="3" a="1"/>
  <c r="AZ20" i="3" a="1"/>
  <c r="CH58" i="3" a="1"/>
  <c r="CU20" i="3" a="1"/>
  <c r="AC20" i="3" a="1"/>
  <c r="DV58" i="3" a="1"/>
  <c r="AP58" i="3" a="1"/>
  <c r="EA71" i="3" a="1"/>
  <c r="DK20" i="3" a="1"/>
  <c r="V20" i="3" a="1"/>
  <c r="BY58" i="3" a="1"/>
  <c r="AC71" i="3" a="1"/>
  <c r="N58" i="3" a="1"/>
  <c r="S71" i="3" a="1"/>
  <c r="DD20" i="3" a="1"/>
  <c r="BE71" i="3" a="1"/>
  <c r="AY20" i="3" a="1"/>
  <c r="BD71" i="3" a="1"/>
  <c r="DX20" i="3" a="1"/>
  <c r="EK58" i="3" a="1"/>
  <c r="EA20" i="3" a="1"/>
  <c r="E58" i="3" a="1"/>
  <c r="DY58" i="3" a="1"/>
  <c r="BL20" i="3" a="1"/>
  <c r="AN20" i="3" a="1"/>
  <c r="U20" i="3" a="1"/>
  <c r="X71" i="3" a="1"/>
  <c r="BI71" i="3" a="1"/>
  <c r="CC71" i="3" a="1"/>
  <c r="BB71" i="3" a="1"/>
  <c r="Q20" i="3" a="1"/>
  <c r="CS58" i="3" a="1"/>
  <c r="EE58" i="3" a="1"/>
  <c r="I71" i="3" a="1"/>
  <c r="K58" i="3" a="1"/>
  <c r="DJ71" i="3" a="1"/>
  <c r="AU58" i="3" a="1"/>
  <c r="AK58" i="3" a="1"/>
  <c r="DB20" i="3" a="1"/>
  <c r="EB20" i="3" a="1"/>
  <c r="BB20" i="3" a="1"/>
  <c r="BG20" i="3" a="1"/>
  <c r="DK71" i="3" a="1"/>
  <c r="CG20" i="3" a="1"/>
  <c r="CQ71" i="3" a="1"/>
  <c r="BL71" i="3" a="1"/>
  <c r="CR20" i="3" a="1"/>
  <c r="AU20" i="3" a="1"/>
  <c r="EM20" i="3" a="1"/>
  <c r="CU58" i="3" a="1"/>
  <c r="BT71" i="3" a="1"/>
  <c r="CG58" i="3" a="1"/>
  <c r="CD71" i="3" a="1"/>
  <c r="DV20" i="3" a="1"/>
  <c r="AN71" i="3" a="1"/>
  <c r="AV58" i="3" a="1"/>
  <c r="CM58" i="3" a="1"/>
  <c r="BS58" i="3" a="1"/>
  <c r="AW58" i="3" a="1"/>
  <c r="CO20" i="3" a="1"/>
  <c r="J58" i="3" a="1"/>
  <c r="BZ20" i="3" a="1"/>
  <c r="DG71" i="3" a="1"/>
  <c r="L71" i="3" a="1"/>
  <c r="ED71" i="3" a="1"/>
  <c r="P71" i="3" a="1"/>
  <c r="BK20" i="3" a="1"/>
  <c r="DI20" i="3" a="1"/>
  <c r="Y58" i="3" a="1"/>
  <c r="DD71" i="3" a="1"/>
  <c r="X58" i="3" a="1"/>
  <c r="AY71" i="3" a="1"/>
  <c r="BW58" i="3" a="1"/>
  <c r="BR71" i="3" a="1"/>
  <c r="DJ58" i="3" a="1"/>
  <c r="CL20" i="3" a="1"/>
  <c r="DO71" i="3" a="1"/>
  <c r="BI20" i="3" a="1"/>
  <c r="BO71" i="3" a="1"/>
  <c r="G20" i="3" a="1"/>
  <c r="DW71" i="3" a="1"/>
  <c r="L20" i="3" a="1"/>
  <c r="AK71" i="3" a="1"/>
  <c r="AL71" i="3" a="1"/>
  <c r="BT20" i="3" a="1"/>
  <c r="N20" i="3" a="1"/>
  <c r="S14" i="4"/>
  <c r="S22" i="4"/>
  <c r="N20" i="3"/>
  <c r="BT20" i="3"/>
  <c r="AL71" i="3"/>
  <c r="AK71" i="3"/>
  <c r="L20" i="3"/>
  <c r="DW71" i="3"/>
  <c r="G20" i="3"/>
  <c r="BO71" i="3"/>
  <c r="BI20" i="3"/>
  <c r="DO71" i="3"/>
  <c r="CL20" i="3"/>
  <c r="DJ58" i="3"/>
  <c r="BR71" i="3"/>
  <c r="BW58" i="3"/>
  <c r="AY71" i="3"/>
  <c r="X58" i="3"/>
  <c r="DD71" i="3"/>
  <c r="Y58" i="3"/>
  <c r="BA58" i="3"/>
  <c r="K80" i="5" a="1"/>
  <c r="K80" i="5"/>
  <c r="DI20" i="3"/>
  <c r="BK20" i="3"/>
  <c r="P71" i="3"/>
  <c r="ED71" i="3"/>
  <c r="L71" i="3"/>
  <c r="DG71" i="3"/>
  <c r="BZ20" i="3"/>
  <c r="J58" i="3"/>
  <c r="CO20" i="3"/>
  <c r="AW58" i="3"/>
  <c r="BS58" i="3"/>
  <c r="CM58" i="3"/>
  <c r="AV58" i="3"/>
  <c r="AN71" i="3"/>
  <c r="DV20" i="3"/>
  <c r="CD71" i="3"/>
  <c r="CG58" i="3"/>
  <c r="BT71" i="3"/>
  <c r="CU58" i="3"/>
  <c r="EM20" i="3"/>
  <c r="AU20" i="3"/>
  <c r="CR20" i="3"/>
  <c r="BL71" i="3"/>
  <c r="CQ71" i="3"/>
  <c r="CG20" i="3"/>
  <c r="DK71" i="3"/>
  <c r="BG20" i="3"/>
  <c r="BB20" i="3"/>
  <c r="EB20" i="3"/>
  <c r="DB20" i="3"/>
  <c r="AK58" i="3"/>
  <c r="AU58" i="3"/>
  <c r="DJ71" i="3"/>
  <c r="K58" i="3"/>
  <c r="I71" i="3"/>
  <c r="EE58" i="3"/>
  <c r="CS58" i="3"/>
  <c r="Q20" i="3"/>
  <c r="BB71" i="3"/>
  <c r="CC71" i="3"/>
  <c r="BI71" i="3"/>
  <c r="X71" i="3"/>
  <c r="AZ71" i="3"/>
  <c r="K77" i="5" a="1"/>
  <c r="K77" i="5"/>
  <c r="U20" i="3"/>
  <c r="AN20" i="3"/>
  <c r="BL20" i="3"/>
  <c r="DY58" i="3"/>
  <c r="E58" i="3"/>
  <c r="EA20" i="3"/>
  <c r="EK58" i="3"/>
  <c r="DX20" i="3"/>
  <c r="BD71" i="3"/>
  <c r="AY20" i="3"/>
  <c r="BE71" i="3"/>
  <c r="DD20" i="3"/>
  <c r="S71" i="3"/>
  <c r="N58" i="3"/>
  <c r="AC71" i="3"/>
  <c r="K97" i="5" a="1"/>
  <c r="K97" i="5"/>
  <c r="P97" i="5"/>
  <c r="BY58" i="3"/>
  <c r="V20" i="3"/>
  <c r="AX20" i="3"/>
  <c r="K67" i="5" a="1"/>
  <c r="K67" i="5"/>
  <c r="DK20" i="3"/>
  <c r="EA71" i="3"/>
  <c r="AP58" i="3"/>
  <c r="DV58" i="3"/>
  <c r="AC20" i="3"/>
  <c r="CU20" i="3"/>
  <c r="CH58" i="3"/>
  <c r="AZ20" i="3"/>
  <c r="CY20" i="3"/>
  <c r="BG71" i="3"/>
  <c r="CM20" i="3"/>
  <c r="CT20" i="3"/>
  <c r="CD20" i="3"/>
  <c r="AV71" i="3"/>
  <c r="BB58" i="3"/>
  <c r="U58" i="3"/>
  <c r="K64" i="5" a="1"/>
  <c r="K64" i="5"/>
  <c r="BQ71" i="3"/>
  <c r="CI71" i="3"/>
  <c r="I20" i="3"/>
  <c r="AH71" i="3"/>
  <c r="EF20" i="3"/>
  <c r="AQ20" i="3"/>
  <c r="DS20" i="3"/>
  <c r="AO58" i="3"/>
  <c r="DE71" i="3"/>
  <c r="BL58" i="3"/>
  <c r="O71" i="3"/>
  <c r="CN20" i="3"/>
  <c r="DP20" i="3"/>
  <c r="U71" i="3"/>
  <c r="AW71" i="3"/>
  <c r="K65" i="5" a="1"/>
  <c r="K65" i="5"/>
  <c r="BY20" i="3"/>
  <c r="CF71" i="3"/>
  <c r="CB58" i="3"/>
  <c r="DY71" i="3"/>
  <c r="CZ71" i="3"/>
  <c r="E71" i="3"/>
  <c r="Z20" i="3"/>
  <c r="K83" i="5" a="1"/>
  <c r="K83" i="5"/>
  <c r="M83" i="5"/>
  <c r="AB20" i="3"/>
  <c r="CH20" i="3"/>
  <c r="CQ20" i="3"/>
  <c r="AQ71" i="3"/>
  <c r="AQ58" i="3"/>
  <c r="CK71" i="3"/>
  <c r="CT71" i="3"/>
  <c r="DU20" i="3"/>
  <c r="BQ58" i="3"/>
  <c r="DD58" i="3"/>
  <c r="DI58" i="3"/>
  <c r="BQ20" i="3"/>
  <c r="BF20" i="3"/>
  <c r="BR20" i="3"/>
  <c r="BA71" i="3"/>
  <c r="Y71" i="3"/>
  <c r="BJ20" i="3"/>
  <c r="DA71" i="3"/>
  <c r="CR58" i="3"/>
  <c r="EM71" i="3"/>
  <c r="T71" i="3"/>
  <c r="K61" i="5" a="1"/>
  <c r="K61" i="5"/>
  <c r="CA58" i="3"/>
  <c r="AX58" i="3"/>
  <c r="EK20" i="3"/>
  <c r="AM71" i="3"/>
  <c r="J20" i="3"/>
  <c r="CP58" i="3"/>
  <c r="AG71" i="3"/>
  <c r="CA20" i="3"/>
  <c r="EE20" i="3"/>
  <c r="T58" i="3"/>
  <c r="K60" i="5" a="1"/>
  <c r="K60" i="5"/>
  <c r="T20" i="3"/>
  <c r="DE58" i="3"/>
  <c r="Z71" i="3"/>
  <c r="K85" i="5" a="1"/>
  <c r="K85" i="5"/>
  <c r="L85" i="5"/>
  <c r="R85" i="5"/>
  <c r="DH58" i="3"/>
  <c r="BS20" i="3"/>
  <c r="V71" i="3"/>
  <c r="AX71" i="3"/>
  <c r="K69" i="5" a="1"/>
  <c r="K69" i="5"/>
  <c r="L69" i="5"/>
  <c r="Q69" i="5"/>
  <c r="CN58" i="3"/>
  <c r="J71" i="3"/>
  <c r="CN71" i="3"/>
  <c r="DM20" i="3"/>
  <c r="AJ58" i="3"/>
  <c r="AN58" i="3"/>
  <c r="BC20" i="3"/>
  <c r="DY20" i="3"/>
  <c r="DH71" i="3"/>
  <c r="I58" i="3"/>
  <c r="BF58" i="3"/>
  <c r="EK71" i="3"/>
  <c r="L58" i="3"/>
  <c r="EA58" i="3"/>
  <c r="AW20" i="3"/>
  <c r="BW71" i="3"/>
  <c r="CD58" i="3"/>
  <c r="DU58" i="3"/>
  <c r="DT20" i="3"/>
  <c r="DJ20" i="3"/>
  <c r="E20" i="3"/>
  <c r="AD71" i="3"/>
  <c r="BF71" i="3"/>
  <c r="K101" i="5" a="1"/>
  <c r="K101" i="5"/>
  <c r="EB71" i="3"/>
  <c r="AR20" i="3"/>
  <c r="DF20" i="3"/>
  <c r="CG71" i="3"/>
  <c r="CG7" i="3"/>
  <c r="CG6" i="3"/>
  <c r="DT58" i="3"/>
  <c r="BJ71" i="3"/>
  <c r="DQ58" i="3"/>
  <c r="G58" i="3"/>
  <c r="BA20" i="3"/>
  <c r="BP71" i="3"/>
  <c r="CR71" i="3"/>
  <c r="CS71" i="3"/>
  <c r="DM71" i="3"/>
  <c r="EH71" i="3"/>
  <c r="H58" i="3"/>
  <c r="BE58" i="3"/>
  <c r="EH58" i="3"/>
  <c r="EL58" i="3"/>
  <c r="CQ58" i="3"/>
  <c r="CQ7" i="3"/>
  <c r="CQ6" i="3"/>
  <c r="DT71" i="3"/>
  <c r="DA20" i="3"/>
  <c r="BN20" i="3"/>
  <c r="CW58" i="3"/>
  <c r="W20" i="3"/>
  <c r="K71" i="5" a="1"/>
  <c r="K71" i="5"/>
  <c r="M71" i="5"/>
  <c r="AM20" i="3"/>
  <c r="Z58" i="3"/>
  <c r="K84" i="5" a="1"/>
  <c r="K84" i="5"/>
  <c r="DN58" i="3"/>
  <c r="BI58" i="3"/>
  <c r="EE71" i="3"/>
  <c r="Q58" i="3"/>
  <c r="K71" i="3"/>
  <c r="CZ58" i="3"/>
  <c r="BZ71" i="3"/>
  <c r="DA58" i="3"/>
  <c r="AR58" i="3"/>
  <c r="CI58" i="3"/>
  <c r="CK20" i="3"/>
  <c r="BD20" i="3"/>
  <c r="AB71" i="3"/>
  <c r="EC71" i="3"/>
  <c r="S20" i="3"/>
  <c r="CO71" i="3"/>
  <c r="Y20" i="3"/>
  <c r="K79" i="5" a="1"/>
  <c r="K79" i="5"/>
  <c r="CL71" i="3"/>
  <c r="DN20" i="3"/>
  <c r="CE71" i="3"/>
  <c r="DW20" i="3"/>
  <c r="F71" i="3"/>
  <c r="BN71" i="3"/>
  <c r="K20" i="3"/>
  <c r="V58" i="3"/>
  <c r="K68" i="5" a="1"/>
  <c r="K68" i="5"/>
  <c r="P68" i="5"/>
  <c r="CC20" i="3"/>
  <c r="DV71" i="3"/>
  <c r="DB58" i="3"/>
  <c r="BX58" i="3"/>
  <c r="EI71" i="3"/>
  <c r="AY58" i="3"/>
  <c r="CB20" i="3"/>
  <c r="BK71" i="3"/>
  <c r="AV20" i="3"/>
  <c r="CL58" i="3"/>
  <c r="BC58" i="3"/>
  <c r="Q71" i="3"/>
  <c r="CW71" i="3"/>
  <c r="DO20" i="3"/>
  <c r="EJ71" i="3"/>
  <c r="BW20" i="3"/>
  <c r="EF71" i="3"/>
  <c r="AA20" i="3"/>
  <c r="K87" i="5" a="1"/>
  <c r="K87" i="5"/>
  <c r="DP58" i="3"/>
  <c r="AK20" i="3"/>
  <c r="AO71" i="3"/>
  <c r="EL71" i="3"/>
  <c r="DX58" i="3"/>
  <c r="DM58" i="3"/>
  <c r="CZ20" i="3"/>
  <c r="CZ7" i="3"/>
  <c r="CZ6" i="3"/>
  <c r="AJ20" i="3"/>
  <c r="BP58" i="3"/>
  <c r="BM71" i="3"/>
  <c r="DK58" i="3"/>
  <c r="BG58" i="3"/>
  <c r="EJ20" i="3"/>
  <c r="DC58" i="3"/>
  <c r="DC20" i="3"/>
  <c r="DC71" i="3"/>
  <c r="DC7" i="3"/>
  <c r="DC6" i="3"/>
  <c r="DI71" i="3"/>
  <c r="DE20" i="3"/>
  <c r="CY58" i="3"/>
  <c r="CY71" i="3"/>
  <c r="CT58" i="3"/>
  <c r="CK58" i="3"/>
  <c r="CH71" i="3"/>
  <c r="W58" i="3"/>
  <c r="BN58" i="3"/>
  <c r="BN7" i="3"/>
  <c r="BN6" i="3"/>
  <c r="CV71" i="3"/>
  <c r="DR58" i="3"/>
  <c r="CE58" i="3"/>
  <c r="EC20" i="3"/>
  <c r="AE20" i="3"/>
  <c r="DQ71" i="3"/>
  <c r="AD58" i="3"/>
  <c r="K100" i="5" a="1"/>
  <c r="K100" i="5"/>
  <c r="L100" i="5"/>
  <c r="N100" i="5"/>
  <c r="EG71" i="3"/>
  <c r="M20" i="3"/>
  <c r="CV58" i="3"/>
  <c r="AE58" i="3"/>
  <c r="DB71" i="3"/>
  <c r="DS58" i="3"/>
  <c r="AH58" i="3"/>
  <c r="BR58" i="3"/>
  <c r="BR7" i="3"/>
  <c r="BR6" i="3"/>
  <c r="BS71" i="3"/>
  <c r="CO58" i="3"/>
  <c r="AA58" i="3"/>
  <c r="K88" i="5" a="1"/>
  <c r="K88" i="5"/>
  <c r="P88" i="5"/>
  <c r="AE71" i="3"/>
  <c r="BY71" i="3"/>
  <c r="CU71" i="3"/>
  <c r="AJ71" i="3"/>
  <c r="DF71" i="3"/>
  <c r="BO20" i="3"/>
  <c r="CE20" i="3"/>
  <c r="AR71" i="3"/>
  <c r="DH20" i="3"/>
  <c r="EH20" i="3"/>
  <c r="BP20" i="3"/>
  <c r="DQ20" i="3"/>
  <c r="CV20" i="3"/>
  <c r="AG58" i="3"/>
  <c r="BD58" i="3"/>
  <c r="DN71" i="3"/>
  <c r="AM58" i="3"/>
  <c r="CI20" i="3"/>
  <c r="EJ58" i="3"/>
  <c r="CS20" i="3"/>
  <c r="CB71" i="3"/>
  <c r="CB7" i="3"/>
  <c r="CB6" i="3"/>
  <c r="H20" i="3"/>
  <c r="DX71" i="3"/>
  <c r="DR71" i="3"/>
  <c r="EB58" i="3"/>
  <c r="BX20" i="3"/>
  <c r="BX71" i="3"/>
  <c r="BX7" i="3"/>
  <c r="BX6" i="3"/>
  <c r="BU58" i="3"/>
  <c r="EG20" i="3"/>
  <c r="EC58" i="3"/>
  <c r="AH20" i="3"/>
  <c r="S58" i="3"/>
  <c r="L19" i="4" a="1"/>
  <c r="L19" i="4"/>
  <c r="AI20" i="3"/>
  <c r="AS20" i="3"/>
  <c r="DG58" i="3"/>
  <c r="DU71" i="3"/>
  <c r="EF58" i="3"/>
  <c r="CC58" i="3"/>
  <c r="CC7" i="3"/>
  <c r="CC6" i="3"/>
  <c r="EI58" i="3"/>
  <c r="F20" i="3"/>
  <c r="AP20" i="3"/>
  <c r="M71" i="3"/>
  <c r="AA71" i="3"/>
  <c r="BC71" i="3"/>
  <c r="K89" i="5" a="1"/>
  <c r="K89" i="5"/>
  <c r="M89" i="5"/>
  <c r="DS71" i="3"/>
  <c r="ED20" i="3"/>
  <c r="M58" i="3"/>
  <c r="AP71" i="3"/>
  <c r="AL58" i="3"/>
  <c r="P58" i="3"/>
  <c r="N71" i="3"/>
  <c r="DP71" i="3"/>
  <c r="CW20" i="3"/>
  <c r="AZ58" i="3"/>
  <c r="CP20" i="3"/>
  <c r="CP71" i="3"/>
  <c r="AU71" i="3"/>
  <c r="BE20" i="3"/>
  <c r="AS71" i="3"/>
  <c r="BM20" i="3"/>
  <c r="ED58" i="3"/>
  <c r="AS58" i="3"/>
  <c r="W71" i="3"/>
  <c r="K73" i="5" a="1"/>
  <c r="K73" i="5"/>
  <c r="AI58" i="3"/>
  <c r="BU20" i="3"/>
  <c r="AD20" i="3"/>
  <c r="K99" i="5" a="1"/>
  <c r="K99" i="5"/>
  <c r="L99" i="5"/>
  <c r="BU71" i="3"/>
  <c r="BM58" i="3"/>
  <c r="EI20" i="3"/>
  <c r="AB58" i="3"/>
  <c r="K92" i="5" a="1"/>
  <c r="K92" i="5"/>
  <c r="X20" i="3"/>
  <c r="K75" i="5" a="1"/>
  <c r="K75" i="5"/>
  <c r="BZ58" i="3"/>
  <c r="BZ7" i="3"/>
  <c r="BZ6" i="3"/>
  <c r="AG20" i="3"/>
  <c r="AC58" i="3"/>
  <c r="K96" i="5" a="1"/>
  <c r="K96" i="5"/>
  <c r="M96" i="5"/>
  <c r="DF58" i="3"/>
  <c r="CF20" i="3"/>
  <c r="EM58" i="3"/>
  <c r="H71" i="3"/>
  <c r="CM71" i="3"/>
  <c r="CM7" i="3"/>
  <c r="CM6" i="3"/>
  <c r="AI71" i="3"/>
  <c r="DW58" i="3"/>
  <c r="P20" i="3"/>
  <c r="AL20" i="3"/>
  <c r="BO58" i="3"/>
  <c r="DR20" i="3"/>
  <c r="DG20" i="3"/>
  <c r="CA71" i="3"/>
  <c r="DO58" i="3"/>
  <c r="BT58" i="3"/>
  <c r="BJ58" i="3"/>
  <c r="O58" i="3"/>
  <c r="EG58" i="3"/>
  <c r="F58" i="3"/>
  <c r="O20" i="3"/>
  <c r="G71" i="3"/>
  <c r="EL20" i="3"/>
  <c r="EL7" i="3"/>
  <c r="EL6" i="3"/>
  <c r="BK58" i="3"/>
  <c r="AO20" i="3"/>
  <c r="CF58" i="3"/>
  <c r="M69" i="5"/>
  <c r="P69" i="5"/>
  <c r="O69" i="5"/>
  <c r="N69" i="5"/>
  <c r="P84" i="5"/>
  <c r="R69" i="5"/>
  <c r="DN7" i="3"/>
  <c r="DN6" i="3"/>
  <c r="K93" i="5" a="1"/>
  <c r="K93" i="5"/>
  <c r="L15" i="4" a="1"/>
  <c r="L15" i="4"/>
  <c r="K55" i="5" a="1"/>
  <c r="K55" i="5"/>
  <c r="L71" i="5"/>
  <c r="P71" i="5"/>
  <c r="CU7" i="3"/>
  <c r="CU6" i="3"/>
  <c r="K95" i="5" a="1"/>
  <c r="K95" i="5"/>
  <c r="V7" i="3"/>
  <c r="V6" i="3"/>
  <c r="L23" i="4" a="1"/>
  <c r="L23" i="4"/>
  <c r="K57" i="5" a="1"/>
  <c r="K57" i="5"/>
  <c r="DV7" i="3"/>
  <c r="DV6" i="3"/>
  <c r="K59" i="5" a="1"/>
  <c r="K59" i="5"/>
  <c r="CL7" i="3"/>
  <c r="CL6" i="3"/>
  <c r="L68" i="5"/>
  <c r="M68" i="5"/>
  <c r="L67" i="5"/>
  <c r="P67" i="5"/>
  <c r="M67" i="5"/>
  <c r="L89" i="5"/>
  <c r="P89" i="5"/>
  <c r="P83" i="5"/>
  <c r="M97" i="5"/>
  <c r="L97" i="5"/>
  <c r="Q85" i="5"/>
  <c r="J62" i="4" a="1"/>
  <c r="J62" i="4"/>
  <c r="L61" i="4" a="1"/>
  <c r="L61" i="4"/>
  <c r="K61" i="4" a="1"/>
  <c r="K61" i="4"/>
  <c r="D61" i="4"/>
  <c r="I61" i="4" a="1"/>
  <c r="I61" i="4"/>
  <c r="P60" i="4"/>
  <c r="Q60" i="4"/>
  <c r="R60" i="4"/>
  <c r="X60" i="4"/>
  <c r="O60" i="4"/>
  <c r="V60" i="4"/>
  <c r="N60" i="4" a="1"/>
  <c r="N60" i="4"/>
  <c r="W60" i="4"/>
  <c r="M60" i="4" a="1"/>
  <c r="M60" i="4"/>
  <c r="T60" i="4"/>
  <c r="U60" i="4"/>
  <c r="AC61" i="4"/>
  <c r="Y61" i="4"/>
  <c r="AA61" i="4"/>
  <c r="AB61" i="4"/>
  <c r="Z61" i="4"/>
  <c r="AD61" i="4"/>
  <c r="U22" i="4"/>
  <c r="W18" i="4"/>
  <c r="U14" i="4"/>
  <c r="EG7" i="3"/>
  <c r="EG6" i="3"/>
  <c r="BE7" i="3"/>
  <c r="BE6" i="3"/>
  <c r="EC7" i="3"/>
  <c r="EC6" i="3"/>
  <c r="AM7" i="3"/>
  <c r="AM6" i="3"/>
  <c r="CV7" i="3"/>
  <c r="CV6" i="3"/>
  <c r="DH7" i="3"/>
  <c r="DH6" i="3"/>
  <c r="DE7" i="3"/>
  <c r="DE6" i="3"/>
  <c r="BP7" i="3"/>
  <c r="BP6" i="3"/>
  <c r="K7" i="3"/>
  <c r="K6" i="3"/>
  <c r="DA7" i="3"/>
  <c r="DA6" i="3"/>
  <c r="AJ7" i="3"/>
  <c r="AJ6" i="3"/>
  <c r="AH7" i="3"/>
  <c r="AH6" i="3"/>
  <c r="BB7" i="3"/>
  <c r="BB6" i="3"/>
  <c r="O7" i="3"/>
  <c r="O6" i="3"/>
  <c r="DS7" i="3"/>
  <c r="DS6" i="3"/>
  <c r="T7" i="3"/>
  <c r="T6" i="3"/>
  <c r="EK7" i="3"/>
  <c r="EK6" i="3"/>
  <c r="AX7" i="3"/>
  <c r="AX6" i="3"/>
  <c r="N85" i="5"/>
  <c r="X7" i="3"/>
  <c r="X6" i="3"/>
  <c r="K56" i="5" a="1"/>
  <c r="K56" i="5"/>
  <c r="P56" i="5"/>
  <c r="DT7" i="3"/>
  <c r="DT6" i="3"/>
  <c r="AW7" i="3"/>
  <c r="AW6" i="3"/>
  <c r="BF7" i="3"/>
  <c r="BF6" i="3"/>
  <c r="CN7" i="3"/>
  <c r="CN6" i="3"/>
  <c r="BS7" i="3"/>
  <c r="BS6" i="3"/>
  <c r="CI7" i="3"/>
  <c r="CI6" i="3"/>
  <c r="AP7" i="3"/>
  <c r="AP6" i="3"/>
  <c r="DK7" i="3"/>
  <c r="DK6" i="3"/>
  <c r="AN7" i="3"/>
  <c r="AN6" i="3"/>
  <c r="DJ7" i="3"/>
  <c r="DJ6" i="3"/>
  <c r="O85" i="5"/>
  <c r="M99" i="5"/>
  <c r="P85" i="5"/>
  <c r="M85" i="5"/>
  <c r="AO7" i="3"/>
  <c r="AO6" i="3"/>
  <c r="DR7" i="3"/>
  <c r="DR6" i="3"/>
  <c r="BU7" i="3"/>
  <c r="BU6" i="3"/>
  <c r="CS7" i="3"/>
  <c r="CS6" i="3"/>
  <c r="AR7" i="3"/>
  <c r="AR6" i="3"/>
  <c r="AY7" i="3"/>
  <c r="AY6" i="3"/>
  <c r="S7" i="3"/>
  <c r="S6" i="3"/>
  <c r="DF7" i="3"/>
  <c r="DF6" i="3"/>
  <c r="EA7" i="3"/>
  <c r="EA6" i="3"/>
  <c r="I7" i="3"/>
  <c r="I6" i="3"/>
  <c r="EF7" i="3"/>
  <c r="EF6" i="3"/>
  <c r="DI7" i="3"/>
  <c r="DI6" i="3"/>
  <c r="CF7" i="3"/>
  <c r="CF6" i="3"/>
  <c r="AC7" i="3"/>
  <c r="AC6" i="3"/>
  <c r="L96" i="5"/>
  <c r="N96" i="5"/>
  <c r="AS7" i="3"/>
  <c r="AS6" i="3"/>
  <c r="AE7" i="3"/>
  <c r="AE6" i="3"/>
  <c r="H7" i="3"/>
  <c r="H6" i="3"/>
  <c r="AB7" i="3"/>
  <c r="AB6" i="3"/>
  <c r="DX7" i="3"/>
  <c r="DX6" i="3"/>
  <c r="P99" i="5"/>
  <c r="K91" i="5" a="1"/>
  <c r="K91" i="5"/>
  <c r="P91" i="5"/>
  <c r="AG7" i="3"/>
  <c r="AG6" i="3"/>
  <c r="CW7" i="3"/>
  <c r="CW6" i="3"/>
  <c r="O100" i="5"/>
  <c r="L83" i="5"/>
  <c r="R83" i="5"/>
  <c r="P96" i="5"/>
  <c r="DO7" i="3"/>
  <c r="DO6" i="3"/>
  <c r="DU7" i="3"/>
  <c r="DU6" i="3"/>
  <c r="L7" i="3"/>
  <c r="L6" i="3"/>
  <c r="Z7" i="3"/>
  <c r="Z6" i="3"/>
  <c r="AL7" i="3"/>
  <c r="AL6" i="3"/>
  <c r="EH7" i="3"/>
  <c r="EH6" i="3"/>
  <c r="X18" i="4"/>
  <c r="M77" i="5"/>
  <c r="P77" i="5"/>
  <c r="L77" i="5"/>
  <c r="Q7" i="3"/>
  <c r="Q6" i="3"/>
  <c r="DB7" i="3"/>
  <c r="DB6" i="3"/>
  <c r="BT7" i="3"/>
  <c r="BT6" i="3"/>
  <c r="Q100" i="5"/>
  <c r="BK7" i="3"/>
  <c r="BK6" i="3"/>
  <c r="BM7" i="3"/>
  <c r="BM6" i="3"/>
  <c r="ED7" i="3"/>
  <c r="ED6" i="3"/>
  <c r="AI7" i="3"/>
  <c r="AI6" i="3"/>
  <c r="DQ7" i="3"/>
  <c r="DQ6" i="3"/>
  <c r="AA7" i="3"/>
  <c r="AA6" i="3"/>
  <c r="M87" i="5"/>
  <c r="L87" i="5"/>
  <c r="P87" i="5"/>
  <c r="CK7" i="3"/>
  <c r="CK6" i="3"/>
  <c r="M84" i="5"/>
  <c r="L84" i="5"/>
  <c r="J7" i="3"/>
  <c r="J6" i="3"/>
  <c r="M60" i="5"/>
  <c r="L60" i="5"/>
  <c r="P60" i="5"/>
  <c r="CP7" i="3"/>
  <c r="CP6" i="3"/>
  <c r="Y7" i="3"/>
  <c r="Y6" i="3"/>
  <c r="K81" i="5" a="1"/>
  <c r="K81" i="5"/>
  <c r="BQ7" i="3"/>
  <c r="BQ6" i="3"/>
  <c r="DP7" i="3"/>
  <c r="DP6" i="3"/>
  <c r="EB7" i="3"/>
  <c r="EB6" i="3"/>
  <c r="G7" i="3"/>
  <c r="G6" i="3"/>
  <c r="BC7" i="3"/>
  <c r="BC6" i="3"/>
  <c r="P65" i="5"/>
  <c r="L65" i="5"/>
  <c r="M65" i="5"/>
  <c r="AQ7" i="3"/>
  <c r="AQ6" i="3"/>
  <c r="CR7" i="3"/>
  <c r="CR6" i="3"/>
  <c r="R100" i="5"/>
  <c r="AD7" i="3"/>
  <c r="AD6" i="3"/>
  <c r="M100" i="5"/>
  <c r="P73" i="5"/>
  <c r="M73" i="5"/>
  <c r="L73" i="5"/>
  <c r="F7" i="3"/>
  <c r="F6" i="3"/>
  <c r="EJ7" i="3"/>
  <c r="EJ6" i="3"/>
  <c r="BD7" i="3"/>
  <c r="BD6" i="3"/>
  <c r="CE7" i="3"/>
  <c r="CE6" i="3"/>
  <c r="CO7" i="3"/>
  <c r="CO6" i="3"/>
  <c r="M7" i="3"/>
  <c r="M6" i="3"/>
  <c r="W7" i="3"/>
  <c r="W6" i="3"/>
  <c r="K72" i="5" a="1"/>
  <c r="K72" i="5"/>
  <c r="AV7" i="3"/>
  <c r="AV6" i="3"/>
  <c r="BA7" i="3"/>
  <c r="BA6" i="3"/>
  <c r="EE7" i="3"/>
  <c r="EE6" i="3"/>
  <c r="E7" i="3"/>
  <c r="E6" i="3"/>
  <c r="P64" i="5"/>
  <c r="M64" i="5"/>
  <c r="L64" i="5"/>
  <c r="CT7" i="3"/>
  <c r="CT6" i="3"/>
  <c r="CY7" i="3"/>
  <c r="CY6" i="3"/>
  <c r="AU7" i="3"/>
  <c r="AU6" i="3"/>
  <c r="EM7" i="3"/>
  <c r="EM6" i="3"/>
  <c r="CD7" i="3"/>
  <c r="CD6" i="3"/>
  <c r="K76" i="5" a="1"/>
  <c r="K76" i="5"/>
  <c r="P80" i="5"/>
  <c r="L80" i="5"/>
  <c r="M80" i="5"/>
  <c r="P100" i="5"/>
  <c r="P7" i="3"/>
  <c r="P6" i="3"/>
  <c r="M92" i="5"/>
  <c r="P92" i="5"/>
  <c r="L92" i="5"/>
  <c r="EI7" i="3"/>
  <c r="EI6" i="3"/>
  <c r="DG7" i="3"/>
  <c r="DG6" i="3"/>
  <c r="BO7" i="3"/>
  <c r="BO6" i="3"/>
  <c r="BY7" i="3"/>
  <c r="BY6" i="3"/>
  <c r="DW7" i="3"/>
  <c r="DW6" i="3"/>
  <c r="P79" i="5"/>
  <c r="L79" i="5"/>
  <c r="M79" i="5"/>
  <c r="BW7" i="3"/>
  <c r="BW6" i="3"/>
  <c r="DY7" i="3"/>
  <c r="DY6" i="3"/>
  <c r="DM7" i="3"/>
  <c r="DM6" i="3"/>
  <c r="CA7" i="3"/>
  <c r="CA6" i="3"/>
  <c r="L61" i="5"/>
  <c r="M61" i="5"/>
  <c r="P61" i="5"/>
  <c r="BJ7" i="3"/>
  <c r="BJ6" i="3"/>
  <c r="DD7" i="3"/>
  <c r="DD6" i="3"/>
  <c r="CH7" i="3"/>
  <c r="CH6" i="3"/>
  <c r="AZ7" i="3"/>
  <c r="AZ6" i="3"/>
  <c r="K63" i="5" a="1"/>
  <c r="K63" i="5"/>
  <c r="U7" i="3"/>
  <c r="U6" i="3"/>
  <c r="AK7" i="3"/>
  <c r="AK6" i="3"/>
  <c r="BG7" i="3"/>
  <c r="BG6" i="3"/>
  <c r="BL7" i="3"/>
  <c r="BL6" i="3"/>
  <c r="BI7" i="3"/>
  <c r="BI6" i="3"/>
  <c r="N7" i="3"/>
  <c r="N6" i="3"/>
  <c r="L88" i="5"/>
  <c r="R88" i="5"/>
  <c r="L56" i="5"/>
  <c r="M56" i="5"/>
  <c r="M88" i="5"/>
  <c r="L57" i="5"/>
  <c r="M57" i="5"/>
  <c r="P57" i="5"/>
  <c r="L95" i="5"/>
  <c r="P95" i="5"/>
  <c r="M95" i="5"/>
  <c r="R71" i="5"/>
  <c r="Q71" i="5"/>
  <c r="N71" i="5"/>
  <c r="O71" i="5"/>
  <c r="L75" i="5"/>
  <c r="M75" i="5"/>
  <c r="P75" i="5"/>
  <c r="M101" i="5"/>
  <c r="L101" i="5"/>
  <c r="P101" i="5"/>
  <c r="L59" i="5"/>
  <c r="M59" i="5"/>
  <c r="P59" i="5"/>
  <c r="L91" i="5"/>
  <c r="M55" i="5"/>
  <c r="P55" i="5"/>
  <c r="L55" i="5"/>
  <c r="L93" i="5"/>
  <c r="P93" i="5"/>
  <c r="M93" i="5"/>
  <c r="Q68" i="5"/>
  <c r="N68" i="5"/>
  <c r="R68" i="5"/>
  <c r="O68" i="5"/>
  <c r="N88" i="5"/>
  <c r="N67" i="5"/>
  <c r="R67" i="5"/>
  <c r="Q67" i="5"/>
  <c r="O67" i="5"/>
  <c r="O99" i="5"/>
  <c r="N99" i="5"/>
  <c r="R99" i="5"/>
  <c r="Q99" i="5"/>
  <c r="O97" i="5"/>
  <c r="R97" i="5"/>
  <c r="Q97" i="5"/>
  <c r="N97" i="5"/>
  <c r="Q96" i="5"/>
  <c r="O83" i="5"/>
  <c r="R89" i="5"/>
  <c r="N89" i="5"/>
  <c r="Q89" i="5"/>
  <c r="O89" i="5"/>
  <c r="L62" i="4" a="1"/>
  <c r="L62" i="4"/>
  <c r="D62" i="4"/>
  <c r="I62" i="4" a="1"/>
  <c r="I62" i="4"/>
  <c r="K62" i="4" a="1"/>
  <c r="K62" i="4"/>
  <c r="T61" i="4"/>
  <c r="V61" i="4"/>
  <c r="N61" i="4" a="1"/>
  <c r="N61" i="4"/>
  <c r="X61" i="4"/>
  <c r="Q61" i="4"/>
  <c r="U61" i="4"/>
  <c r="O61" i="4"/>
  <c r="M61" i="4" a="1"/>
  <c r="M61" i="4"/>
  <c r="P61" i="4"/>
  <c r="R61" i="4"/>
  <c r="W61" i="4"/>
  <c r="AA62" i="4"/>
  <c r="Z62" i="4"/>
  <c r="Y62" i="4"/>
  <c r="AC62" i="4"/>
  <c r="AB62" i="4"/>
  <c r="AD62" i="4"/>
  <c r="J63" i="4" a="1"/>
  <c r="J63" i="4"/>
  <c r="W14" i="4"/>
  <c r="W22" i="4"/>
  <c r="O88" i="5"/>
  <c r="Q88" i="5"/>
  <c r="R96" i="5"/>
  <c r="Q83" i="5"/>
  <c r="O96" i="5"/>
  <c r="N83" i="5"/>
  <c r="M91" i="5"/>
  <c r="X22" i="4"/>
  <c r="X14" i="4"/>
  <c r="Z19" i="4"/>
  <c r="R80" i="5"/>
  <c r="O80" i="5"/>
  <c r="Q80" i="5"/>
  <c r="N80" i="5"/>
  <c r="N64" i="5"/>
  <c r="O64" i="5"/>
  <c r="Q64" i="5"/>
  <c r="R64" i="5"/>
  <c r="O61" i="5"/>
  <c r="N61" i="5"/>
  <c r="Q61" i="5"/>
  <c r="R61" i="5"/>
  <c r="O65" i="5"/>
  <c r="N65" i="5"/>
  <c r="R65" i="5"/>
  <c r="Q65" i="5"/>
  <c r="L63" i="5"/>
  <c r="P63" i="5"/>
  <c r="M63" i="5"/>
  <c r="O92" i="5"/>
  <c r="R92" i="5"/>
  <c r="N92" i="5"/>
  <c r="Q92" i="5"/>
  <c r="L76" i="5"/>
  <c r="P76" i="5"/>
  <c r="M76" i="5"/>
  <c r="O84" i="5"/>
  <c r="N84" i="5"/>
  <c r="R84" i="5"/>
  <c r="Q84" i="5"/>
  <c r="R87" i="5"/>
  <c r="O87" i="5"/>
  <c r="N87" i="5"/>
  <c r="Q87" i="5"/>
  <c r="N77" i="5"/>
  <c r="Q77" i="5"/>
  <c r="R77" i="5"/>
  <c r="O77" i="5"/>
  <c r="R79" i="5"/>
  <c r="Q79" i="5"/>
  <c r="O79" i="5"/>
  <c r="N79" i="5"/>
  <c r="M72" i="5"/>
  <c r="L72" i="5"/>
  <c r="P72" i="5"/>
  <c r="R73" i="5"/>
  <c r="N73" i="5"/>
  <c r="O73" i="5"/>
  <c r="Q73" i="5"/>
  <c r="P81" i="5"/>
  <c r="M81" i="5"/>
  <c r="L81" i="5"/>
  <c r="O60" i="5"/>
  <c r="R60" i="5"/>
  <c r="N60" i="5"/>
  <c r="Q60" i="5"/>
  <c r="O56" i="5"/>
  <c r="N56" i="5"/>
  <c r="Q56" i="5"/>
  <c r="R56" i="5"/>
  <c r="Q93" i="5"/>
  <c r="N93" i="5"/>
  <c r="R93" i="5"/>
  <c r="O93" i="5"/>
  <c r="N55" i="5"/>
  <c r="O55" i="5"/>
  <c r="Q55" i="5"/>
  <c r="R55" i="5"/>
  <c r="N59" i="5"/>
  <c r="R59" i="5"/>
  <c r="O59" i="5"/>
  <c r="Q59" i="5"/>
  <c r="R57" i="5"/>
  <c r="N57" i="5"/>
  <c r="Q57" i="5"/>
  <c r="O57" i="5"/>
  <c r="R101" i="5"/>
  <c r="O101" i="5"/>
  <c r="N101" i="5"/>
  <c r="Q101" i="5"/>
  <c r="N35" i="5" a="1"/>
  <c r="N35" i="5"/>
  <c r="Q91" i="5"/>
  <c r="R91" i="5"/>
  <c r="N91" i="5"/>
  <c r="O91" i="5"/>
  <c r="N95" i="5"/>
  <c r="Q95" i="5"/>
  <c r="O95" i="5"/>
  <c r="R95" i="5"/>
  <c r="R75" i="5"/>
  <c r="N75" i="5"/>
  <c r="O75" i="5"/>
  <c r="Q75" i="5"/>
  <c r="O62" i="4"/>
  <c r="N62" i="4" a="1"/>
  <c r="N62" i="4"/>
  <c r="V62" i="4"/>
  <c r="T62" i="4"/>
  <c r="U62" i="4"/>
  <c r="P62" i="4"/>
  <c r="M62" i="4" a="1"/>
  <c r="M62" i="4"/>
  <c r="W62" i="4"/>
  <c r="Q62" i="4"/>
  <c r="X62" i="4"/>
  <c r="R62" i="4"/>
  <c r="AA63" i="4"/>
  <c r="Y63" i="4"/>
  <c r="Z63" i="4"/>
  <c r="AB63" i="4"/>
  <c r="AD63" i="4"/>
  <c r="AC63" i="4"/>
  <c r="L63" i="4" a="1"/>
  <c r="L63" i="4"/>
  <c r="D63" i="4"/>
  <c r="I63" i="4" a="1"/>
  <c r="I63" i="4"/>
  <c r="K63" i="4" a="1"/>
  <c r="K63" i="4"/>
  <c r="J64" i="4" a="1"/>
  <c r="J64" i="4"/>
  <c r="Z15" i="4"/>
  <c r="Z18" i="4"/>
  <c r="Z14" i="4"/>
  <c r="Y17" i="4"/>
  <c r="N41" i="5" a="1"/>
  <c r="N41" i="5"/>
  <c r="AQ35" i="4"/>
  <c r="AA23" i="4"/>
  <c r="AA14" i="4"/>
  <c r="AC14" i="4"/>
  <c r="Y15" i="4"/>
  <c r="Z22" i="4"/>
  <c r="Z23" i="4"/>
  <c r="AA15" i="4"/>
  <c r="AC15" i="4"/>
  <c r="Y21" i="4"/>
  <c r="Y18" i="4"/>
  <c r="AA19" i="4"/>
  <c r="AA22" i="4"/>
  <c r="J35" i="5" a="1"/>
  <c r="J35" i="5"/>
  <c r="AJ29" i="4"/>
  <c r="AA18" i="4"/>
  <c r="AD18" i="4"/>
  <c r="J41" i="5" a="1"/>
  <c r="J41" i="5"/>
  <c r="AJ35" i="4"/>
  <c r="Y14" i="4"/>
  <c r="F35" i="5" a="1"/>
  <c r="F35" i="5"/>
  <c r="AJ16" i="4"/>
  <c r="Y23" i="4"/>
  <c r="Y19" i="4"/>
  <c r="F41" i="5" a="1"/>
  <c r="F41" i="5"/>
  <c r="AJ22" i="4"/>
  <c r="Y22" i="4"/>
  <c r="Q63" i="5"/>
  <c r="O63" i="5"/>
  <c r="N63" i="5"/>
  <c r="R63" i="5"/>
  <c r="AB18" i="4"/>
  <c r="N81" i="5"/>
  <c r="Q81" i="5"/>
  <c r="O81" i="5"/>
  <c r="R81" i="5"/>
  <c r="R72" i="5"/>
  <c r="N72" i="5"/>
  <c r="O72" i="5"/>
  <c r="Q72" i="5"/>
  <c r="R76" i="5"/>
  <c r="N76" i="5"/>
  <c r="Q76" i="5"/>
  <c r="O76" i="5"/>
  <c r="AD19" i="4"/>
  <c r="AC19" i="4"/>
  <c r="AB23" i="4"/>
  <c r="AB19" i="4"/>
  <c r="M35" i="5" a="1"/>
  <c r="M35" i="5"/>
  <c r="AP29" i="4"/>
  <c r="AQ29" i="4"/>
  <c r="AD23" i="4"/>
  <c r="AC23" i="4"/>
  <c r="AD14" i="4"/>
  <c r="D64" i="4"/>
  <c r="I64" i="4" a="1"/>
  <c r="I64" i="4"/>
  <c r="K64" i="4" a="1"/>
  <c r="K64" i="4"/>
  <c r="L64" i="4" a="1"/>
  <c r="L64" i="4"/>
  <c r="Y64" i="4"/>
  <c r="AD64" i="4"/>
  <c r="AC64" i="4"/>
  <c r="AA64" i="4"/>
  <c r="AB64" i="4"/>
  <c r="Z64" i="4"/>
  <c r="J65" i="4" a="1"/>
  <c r="J65" i="4"/>
  <c r="O63" i="4"/>
  <c r="M63" i="4" a="1"/>
  <c r="M63" i="4"/>
  <c r="P63" i="4"/>
  <c r="T63" i="4"/>
  <c r="U63" i="4"/>
  <c r="X63" i="4"/>
  <c r="V63" i="4"/>
  <c r="Q63" i="4"/>
  <c r="W63" i="4"/>
  <c r="R63" i="4"/>
  <c r="N63" i="4" a="1"/>
  <c r="N63" i="4"/>
  <c r="AC18" i="4"/>
  <c r="J40" i="5"/>
  <c r="I40" i="5"/>
  <c r="AI34" i="4"/>
  <c r="AD15" i="4"/>
  <c r="AB15" i="4"/>
  <c r="E27" i="5"/>
  <c r="E25" i="5"/>
  <c r="E26" i="5"/>
  <c r="I35" i="5" a="1"/>
  <c r="I35" i="5"/>
  <c r="AI29" i="4"/>
  <c r="AB14" i="4"/>
  <c r="AB22" i="4"/>
  <c r="E35" i="5" a="1"/>
  <c r="E35" i="5"/>
  <c r="AI16" i="4"/>
  <c r="N40" i="5"/>
  <c r="F40" i="5"/>
  <c r="AJ21" i="4"/>
  <c r="AC22" i="4"/>
  <c r="AD22" i="4"/>
  <c r="AJ34" i="4"/>
  <c r="D65" i="4"/>
  <c r="I65" i="4" a="1"/>
  <c r="I65" i="4"/>
  <c r="L65" i="4" a="1"/>
  <c r="L65" i="4"/>
  <c r="K65" i="4" a="1"/>
  <c r="K65" i="4"/>
  <c r="N64" i="4" a="1"/>
  <c r="N64" i="4"/>
  <c r="T64" i="4"/>
  <c r="X64" i="4"/>
  <c r="Q64" i="4"/>
  <c r="M64" i="4" a="1"/>
  <c r="M64" i="4"/>
  <c r="V64" i="4"/>
  <c r="W64" i="4"/>
  <c r="U64" i="4"/>
  <c r="R64" i="4"/>
  <c r="P64" i="4"/>
  <c r="O64" i="4"/>
  <c r="AB65" i="4"/>
  <c r="Y65" i="4"/>
  <c r="Z65" i="4"/>
  <c r="AA65" i="4"/>
  <c r="AD65" i="4"/>
  <c r="AC65" i="4"/>
  <c r="J66" i="4" a="1"/>
  <c r="J66" i="4"/>
  <c r="E40" i="5"/>
  <c r="AI21" i="4"/>
  <c r="M40" i="5"/>
  <c r="AP34" i="4"/>
  <c r="AQ34" i="4"/>
  <c r="AA66" i="4"/>
  <c r="Y66" i="4"/>
  <c r="Z66" i="4"/>
  <c r="AB66" i="4"/>
  <c r="AC66" i="4"/>
  <c r="AD66" i="4"/>
  <c r="D66" i="4"/>
  <c r="I66" i="4" a="1"/>
  <c r="I66" i="4"/>
  <c r="L66" i="4" a="1"/>
  <c r="L66" i="4"/>
  <c r="K66" i="4" a="1"/>
  <c r="K66" i="4"/>
  <c r="T65" i="4"/>
  <c r="Q65" i="4"/>
  <c r="N65" i="4" a="1"/>
  <c r="N65" i="4"/>
  <c r="X65" i="4"/>
  <c r="W65" i="4"/>
  <c r="V65" i="4"/>
  <c r="U65" i="4"/>
  <c r="O65" i="4"/>
  <c r="M65" i="4" a="1"/>
  <c r="M65" i="4"/>
  <c r="R65" i="4"/>
  <c r="P65" i="4"/>
  <c r="J67" i="4" a="1"/>
  <c r="J67" i="4"/>
  <c r="AB67" i="4"/>
  <c r="AA67" i="4"/>
  <c r="Z67" i="4"/>
  <c r="AC67" i="4"/>
  <c r="AD67" i="4"/>
  <c r="Y67" i="4"/>
  <c r="L67" i="4" a="1"/>
  <c r="L67" i="4"/>
  <c r="D67" i="4"/>
  <c r="I67" i="4" a="1"/>
  <c r="I67" i="4"/>
  <c r="K67" i="4" a="1"/>
  <c r="K67" i="4"/>
  <c r="M66" i="4" a="1"/>
  <c r="M66" i="4"/>
  <c r="P66" i="4"/>
  <c r="N66" i="4" a="1"/>
  <c r="N66" i="4"/>
  <c r="O66" i="4"/>
  <c r="U66" i="4"/>
  <c r="X66" i="4"/>
  <c r="V66" i="4"/>
  <c r="Q66" i="4"/>
  <c r="W66" i="4"/>
  <c r="T66" i="4"/>
  <c r="R66" i="4"/>
  <c r="J68" i="4" a="1"/>
  <c r="J68" i="4"/>
  <c r="AA68" i="4"/>
  <c r="Y68" i="4"/>
  <c r="Z68" i="4"/>
  <c r="AB68" i="4"/>
  <c r="AC68" i="4"/>
  <c r="AD68" i="4"/>
  <c r="D68" i="4"/>
  <c r="I68" i="4" a="1"/>
  <c r="I68" i="4"/>
  <c r="L68" i="4" a="1"/>
  <c r="L68" i="4"/>
  <c r="K68" i="4" a="1"/>
  <c r="K68" i="4"/>
  <c r="X67" i="4"/>
  <c r="W67" i="4"/>
  <c r="O67" i="4"/>
  <c r="M67" i="4" a="1"/>
  <c r="M67" i="4"/>
  <c r="V67" i="4"/>
  <c r="P67" i="4"/>
  <c r="U67" i="4"/>
  <c r="R67" i="4"/>
  <c r="T67" i="4"/>
  <c r="Q67" i="4"/>
  <c r="N67" i="4" a="1"/>
  <c r="N67" i="4"/>
  <c r="J69" i="4" a="1"/>
  <c r="J69" i="4"/>
  <c r="J70" i="4" a="1"/>
  <c r="J70" i="4"/>
  <c r="L69" i="4" a="1"/>
  <c r="L69" i="4"/>
  <c r="K69" i="4" a="1"/>
  <c r="K69" i="4"/>
  <c r="D69" i="4"/>
  <c r="I69" i="4" a="1"/>
  <c r="I69" i="4"/>
  <c r="Z69" i="4"/>
  <c r="Y69" i="4"/>
  <c r="AD69" i="4"/>
  <c r="AC69" i="4"/>
  <c r="AB69" i="4"/>
  <c r="AA69" i="4"/>
  <c r="V68" i="4"/>
  <c r="X68" i="4"/>
  <c r="O68" i="4"/>
  <c r="U68" i="4"/>
  <c r="W68" i="4"/>
  <c r="T68" i="4"/>
  <c r="R68" i="4"/>
  <c r="N68" i="4" a="1"/>
  <c r="N68" i="4"/>
  <c r="M68" i="4" a="1"/>
  <c r="M68" i="4"/>
  <c r="P68" i="4"/>
  <c r="Q68" i="4"/>
  <c r="L70" i="4" a="1"/>
  <c r="L70" i="4"/>
  <c r="D70" i="4"/>
  <c r="I70" i="4" a="1"/>
  <c r="I70" i="4"/>
  <c r="K70" i="4" a="1"/>
  <c r="K70" i="4"/>
  <c r="J71" i="4" a="1"/>
  <c r="J71" i="4"/>
  <c r="V69" i="4"/>
  <c r="N69" i="4" a="1"/>
  <c r="N69" i="4"/>
  <c r="X69" i="4"/>
  <c r="R69" i="4"/>
  <c r="M69" i="4" a="1"/>
  <c r="M69" i="4"/>
  <c r="T69" i="4"/>
  <c r="Q69" i="4"/>
  <c r="P69" i="4"/>
  <c r="W69" i="4"/>
  <c r="U69" i="4"/>
  <c r="O69" i="4"/>
  <c r="Y70" i="4"/>
  <c r="Z70" i="4"/>
  <c r="AC70" i="4"/>
  <c r="AD70" i="4"/>
  <c r="AB70" i="4"/>
  <c r="AA70" i="4"/>
  <c r="M70" i="4" a="1"/>
  <c r="M70" i="4"/>
  <c r="O70" i="4"/>
  <c r="X70" i="4"/>
  <c r="T70" i="4"/>
  <c r="P70" i="4"/>
  <c r="W70" i="4"/>
  <c r="Q70" i="4"/>
  <c r="V70" i="4"/>
  <c r="R70" i="4"/>
  <c r="U70" i="4"/>
  <c r="N70" i="4" a="1"/>
  <c r="N70" i="4"/>
  <c r="Y71" i="4"/>
  <c r="AB71" i="4"/>
  <c r="Z71" i="4"/>
  <c r="AC71" i="4"/>
  <c r="AD71" i="4"/>
  <c r="AA71" i="4"/>
  <c r="J72" i="4" a="1"/>
  <c r="J72" i="4"/>
  <c r="K71" i="4" a="1"/>
  <c r="K71" i="4"/>
  <c r="D71" i="4"/>
  <c r="I71" i="4" a="1"/>
  <c r="I71" i="4"/>
  <c r="L71" i="4" a="1"/>
  <c r="L71" i="4"/>
  <c r="L72" i="4" a="1"/>
  <c r="L72" i="4"/>
  <c r="K72" i="4" a="1"/>
  <c r="K72" i="4"/>
  <c r="D72" i="4"/>
  <c r="I72" i="4" a="1"/>
  <c r="I72" i="4"/>
  <c r="M71" i="4" a="1"/>
  <c r="M71" i="4"/>
  <c r="X71" i="4"/>
  <c r="W71" i="4"/>
  <c r="O71" i="4"/>
  <c r="N71" i="4" a="1"/>
  <c r="N71" i="4"/>
  <c r="P71" i="4"/>
  <c r="R71" i="4"/>
  <c r="Q71" i="4"/>
  <c r="V71" i="4"/>
  <c r="T71" i="4"/>
  <c r="U71" i="4"/>
  <c r="J73" i="4" a="1"/>
  <c r="J73" i="4"/>
  <c r="Z72" i="4"/>
  <c r="AD72" i="4"/>
  <c r="AB72" i="4"/>
  <c r="Y72" i="4"/>
  <c r="AA72" i="4"/>
  <c r="AC72" i="4"/>
  <c r="J74" i="4" a="1"/>
  <c r="J74" i="4"/>
  <c r="D73" i="4"/>
  <c r="I73" i="4" a="1"/>
  <c r="I73" i="4"/>
  <c r="L73" i="4" a="1"/>
  <c r="L73" i="4"/>
  <c r="K73" i="4" a="1"/>
  <c r="K73" i="4"/>
  <c r="X72" i="4"/>
  <c r="O72" i="4"/>
  <c r="M72" i="4" a="1"/>
  <c r="M72" i="4"/>
  <c r="W72" i="4"/>
  <c r="U72" i="4"/>
  <c r="T72" i="4"/>
  <c r="V72" i="4"/>
  <c r="R72" i="4"/>
  <c r="P72" i="4"/>
  <c r="Q72" i="4"/>
  <c r="N72" i="4" a="1"/>
  <c r="N72" i="4"/>
  <c r="AA73" i="4"/>
  <c r="AD73" i="4"/>
  <c r="AB73" i="4"/>
  <c r="Z73" i="4"/>
  <c r="Y73" i="4"/>
  <c r="AC73" i="4"/>
  <c r="Z74" i="4"/>
  <c r="AC74" i="4"/>
  <c r="AD74" i="4"/>
  <c r="Y74" i="4"/>
  <c r="AB74" i="4"/>
  <c r="AA74" i="4"/>
  <c r="U73" i="4"/>
  <c r="N73" i="4" a="1"/>
  <c r="N73" i="4"/>
  <c r="W73" i="4"/>
  <c r="P73" i="4"/>
  <c r="T73" i="4"/>
  <c r="M73" i="4" a="1"/>
  <c r="M73" i="4"/>
  <c r="Q73" i="4"/>
  <c r="X73" i="4"/>
  <c r="O73" i="4"/>
  <c r="V73" i="4"/>
  <c r="R73" i="4"/>
  <c r="D74" i="4"/>
  <c r="I74" i="4" a="1"/>
  <c r="I74" i="4"/>
  <c r="K74" i="4" a="1"/>
  <c r="K74" i="4"/>
  <c r="L74" i="4" a="1"/>
  <c r="L74" i="4"/>
  <c r="J75" i="4" a="1"/>
  <c r="J75" i="4"/>
  <c r="Y75" i="4"/>
  <c r="AD75" i="4"/>
  <c r="AC75" i="4"/>
  <c r="AA75" i="4"/>
  <c r="AB75" i="4"/>
  <c r="Z75" i="4"/>
  <c r="D75" i="4"/>
  <c r="I75" i="4" a="1"/>
  <c r="I75" i="4"/>
  <c r="K75" i="4" a="1"/>
  <c r="K75" i="4"/>
  <c r="L75" i="4" a="1"/>
  <c r="L75" i="4"/>
  <c r="J76" i="4" a="1"/>
  <c r="J76" i="4"/>
  <c r="V74" i="4"/>
  <c r="T74" i="4"/>
  <c r="X74" i="4"/>
  <c r="R74" i="4"/>
  <c r="Q74" i="4"/>
  <c r="P74" i="4"/>
  <c r="N74" i="4" a="1"/>
  <c r="N74" i="4"/>
  <c r="W74" i="4"/>
  <c r="O74" i="4"/>
  <c r="M74" i="4" a="1"/>
  <c r="M74" i="4"/>
  <c r="U74" i="4"/>
  <c r="AA76" i="4"/>
  <c r="AD76" i="4"/>
  <c r="Y76" i="4"/>
  <c r="AB76" i="4"/>
  <c r="Z76" i="4"/>
  <c r="AC76" i="4"/>
  <c r="J77" i="4" a="1"/>
  <c r="J77" i="4"/>
  <c r="D76" i="4"/>
  <c r="I76" i="4" a="1"/>
  <c r="I76" i="4"/>
  <c r="L76" i="4" a="1"/>
  <c r="L76" i="4"/>
  <c r="K76" i="4" a="1"/>
  <c r="K76" i="4"/>
  <c r="N75" i="4" a="1"/>
  <c r="N75" i="4"/>
  <c r="W75" i="4"/>
  <c r="T75" i="4"/>
  <c r="P75" i="4"/>
  <c r="R75" i="4"/>
  <c r="V75" i="4"/>
  <c r="X75" i="4"/>
  <c r="Q75" i="4"/>
  <c r="M75" i="4" a="1"/>
  <c r="M75" i="4"/>
  <c r="O75" i="4"/>
  <c r="U75" i="4"/>
  <c r="AA77" i="4"/>
  <c r="Y77" i="4"/>
  <c r="Z77" i="4"/>
  <c r="AC77" i="4"/>
  <c r="AB77" i="4"/>
  <c r="AD77" i="4"/>
  <c r="J78" i="4" a="1"/>
  <c r="J78" i="4"/>
  <c r="L77" i="4" a="1"/>
  <c r="L77" i="4"/>
  <c r="K77" i="4" a="1"/>
  <c r="K77" i="4"/>
  <c r="D77" i="4"/>
  <c r="I77" i="4" a="1"/>
  <c r="I77" i="4"/>
  <c r="X76" i="4"/>
  <c r="Q76" i="4"/>
  <c r="V76" i="4"/>
  <c r="W76" i="4"/>
  <c r="N76" i="4" a="1"/>
  <c r="N76" i="4"/>
  <c r="U76" i="4"/>
  <c r="O76" i="4"/>
  <c r="T76" i="4"/>
  <c r="P76" i="4"/>
  <c r="R76" i="4"/>
  <c r="M76" i="4" a="1"/>
  <c r="M76" i="4"/>
  <c r="J79" i="4" a="1"/>
  <c r="J79" i="4"/>
  <c r="X77" i="4"/>
  <c r="T77" i="4"/>
  <c r="O77" i="4"/>
  <c r="R77" i="4"/>
  <c r="W77" i="4"/>
  <c r="P77" i="4"/>
  <c r="U77" i="4"/>
  <c r="Q77" i="4"/>
  <c r="M77" i="4" a="1"/>
  <c r="M77" i="4"/>
  <c r="N77" i="4" a="1"/>
  <c r="N77" i="4"/>
  <c r="V77" i="4"/>
  <c r="Z78" i="4"/>
  <c r="Y78" i="4"/>
  <c r="AB78" i="4"/>
  <c r="AD78" i="4"/>
  <c r="AA78" i="4"/>
  <c r="AC78" i="4"/>
  <c r="K78" i="4" a="1"/>
  <c r="K78" i="4"/>
  <c r="L78" i="4" a="1"/>
  <c r="L78" i="4"/>
  <c r="D78" i="4"/>
  <c r="I78" i="4" a="1"/>
  <c r="I78" i="4"/>
  <c r="AA79" i="4"/>
  <c r="AD79" i="4"/>
  <c r="Y79" i="4"/>
  <c r="AB79" i="4"/>
  <c r="AC79" i="4"/>
  <c r="Z79" i="4"/>
  <c r="L79" i="4" a="1"/>
  <c r="L79" i="4"/>
  <c r="D79" i="4"/>
  <c r="I79" i="4" a="1"/>
  <c r="I79" i="4"/>
  <c r="K79" i="4" a="1"/>
  <c r="K79" i="4"/>
  <c r="R78" i="4"/>
  <c r="X78" i="4"/>
  <c r="Q78" i="4"/>
  <c r="T78" i="4"/>
  <c r="V78" i="4"/>
  <c r="O78" i="4"/>
  <c r="W78" i="4"/>
  <c r="P78" i="4"/>
  <c r="N78" i="4" a="1"/>
  <c r="N78" i="4"/>
  <c r="U78" i="4"/>
  <c r="M78" i="4" a="1"/>
  <c r="M78" i="4"/>
  <c r="J80" i="4" a="1"/>
  <c r="J80" i="4"/>
  <c r="Q79" i="4"/>
  <c r="T79" i="4"/>
  <c r="V79" i="4"/>
  <c r="U79" i="4"/>
  <c r="P79" i="4"/>
  <c r="M79" i="4" a="1"/>
  <c r="M79" i="4"/>
  <c r="O79" i="4"/>
  <c r="W79" i="4"/>
  <c r="R79" i="4"/>
  <c r="N79" i="4" a="1"/>
  <c r="N79" i="4"/>
  <c r="X79" i="4"/>
  <c r="AB80" i="4"/>
  <c r="AA80" i="4"/>
  <c r="Y80" i="4"/>
  <c r="AC80" i="4"/>
  <c r="AD80" i="4"/>
  <c r="Z80" i="4"/>
  <c r="J81" i="4" a="1"/>
  <c r="J81" i="4"/>
  <c r="L80" i="4" a="1"/>
  <c r="L80" i="4"/>
  <c r="K80" i="4" a="1"/>
  <c r="K80" i="4"/>
  <c r="D80" i="4"/>
  <c r="I80" i="4" a="1"/>
  <c r="I80" i="4"/>
  <c r="J82" i="4" a="1"/>
  <c r="J82" i="4"/>
  <c r="L81" i="4" a="1"/>
  <c r="L81" i="4"/>
  <c r="D81" i="4"/>
  <c r="I81" i="4" a="1"/>
  <c r="I81" i="4"/>
  <c r="K81" i="4" a="1"/>
  <c r="K81" i="4"/>
  <c r="P80" i="4"/>
  <c r="M80" i="4" a="1"/>
  <c r="M80" i="4"/>
  <c r="O80" i="4"/>
  <c r="T80" i="4"/>
  <c r="R80" i="4"/>
  <c r="V80" i="4"/>
  <c r="U80" i="4"/>
  <c r="X80" i="4"/>
  <c r="N80" i="4" a="1"/>
  <c r="N80" i="4"/>
  <c r="W80" i="4"/>
  <c r="Q80" i="4"/>
  <c r="Y81" i="4"/>
  <c r="AB81" i="4"/>
  <c r="Z81" i="4"/>
  <c r="AC81" i="4"/>
  <c r="AA81" i="4"/>
  <c r="AD81" i="4"/>
  <c r="AB82" i="4"/>
  <c r="AA82" i="4"/>
  <c r="Z82" i="4"/>
  <c r="Y82" i="4"/>
  <c r="AC82" i="4"/>
  <c r="AD82" i="4"/>
  <c r="K82" i="4" a="1"/>
  <c r="K82" i="4"/>
  <c r="L82" i="4" a="1"/>
  <c r="L82" i="4"/>
  <c r="D82" i="4"/>
  <c r="I82" i="4" a="1"/>
  <c r="I82" i="4"/>
  <c r="M81" i="4" a="1"/>
  <c r="M81" i="4"/>
  <c r="T81" i="4"/>
  <c r="P81" i="4"/>
  <c r="W81" i="4"/>
  <c r="O81" i="4"/>
  <c r="Q81" i="4"/>
  <c r="U81" i="4"/>
  <c r="R81" i="4"/>
  <c r="N81" i="4" a="1"/>
  <c r="N81" i="4"/>
  <c r="X81" i="4"/>
  <c r="V81" i="4"/>
  <c r="J83" i="4" a="1"/>
  <c r="J83" i="4"/>
  <c r="T82" i="4"/>
  <c r="U82" i="4"/>
  <c r="R82" i="4"/>
  <c r="P82" i="4"/>
  <c r="X82" i="4"/>
  <c r="N82" i="4" a="1"/>
  <c r="N82" i="4"/>
  <c r="M82" i="4" a="1"/>
  <c r="M82" i="4"/>
  <c r="Q82" i="4"/>
  <c r="W82" i="4"/>
  <c r="V82" i="4"/>
  <c r="O82" i="4"/>
  <c r="AA83" i="4"/>
  <c r="AC83" i="4"/>
  <c r="Y83" i="4"/>
  <c r="AB83" i="4"/>
  <c r="Z83" i="4"/>
  <c r="AD83" i="4"/>
  <c r="J84" i="4" a="1"/>
  <c r="J84" i="4"/>
  <c r="K83" i="4" a="1"/>
  <c r="K83" i="4"/>
  <c r="L83" i="4" a="1"/>
  <c r="L83" i="4"/>
  <c r="D83" i="4"/>
  <c r="I83" i="4" a="1"/>
  <c r="I83" i="4"/>
  <c r="M83" i="4" a="1"/>
  <c r="M83" i="4"/>
  <c r="T83" i="4"/>
  <c r="V83" i="4"/>
  <c r="O83" i="4"/>
  <c r="U83" i="4"/>
  <c r="N83" i="4" a="1"/>
  <c r="N83" i="4"/>
  <c r="W83" i="4"/>
  <c r="R83" i="4"/>
  <c r="P83" i="4"/>
  <c r="X83" i="4"/>
  <c r="Q83" i="4"/>
  <c r="J85" i="4" a="1"/>
  <c r="J85" i="4"/>
  <c r="K84" i="4" a="1"/>
  <c r="K84" i="4"/>
  <c r="D84" i="4"/>
  <c r="I84" i="4" a="1"/>
  <c r="I84" i="4"/>
  <c r="L84" i="4" a="1"/>
  <c r="L84" i="4"/>
  <c r="AA84" i="4"/>
  <c r="Z84" i="4"/>
  <c r="AB84" i="4"/>
  <c r="Y84" i="4"/>
  <c r="AD84" i="4"/>
  <c r="AC84" i="4"/>
  <c r="T84" i="4"/>
  <c r="N84" i="4" a="1"/>
  <c r="N84" i="4"/>
  <c r="W84" i="4"/>
  <c r="R84" i="4"/>
  <c r="M84" i="4" a="1"/>
  <c r="M84" i="4"/>
  <c r="X84" i="4"/>
  <c r="O84" i="4"/>
  <c r="V84" i="4"/>
  <c r="U84" i="4"/>
  <c r="Q84" i="4"/>
  <c r="P84" i="4"/>
  <c r="AA85" i="4"/>
  <c r="Y85" i="4"/>
  <c r="AD85" i="4"/>
  <c r="AC85" i="4"/>
  <c r="AB85" i="4"/>
  <c r="Z85" i="4"/>
  <c r="J86" i="4" a="1"/>
  <c r="J86" i="4"/>
  <c r="K85" i="4" a="1"/>
  <c r="K85" i="4"/>
  <c r="L85" i="4" a="1"/>
  <c r="L85" i="4"/>
  <c r="D85" i="4"/>
  <c r="I85" i="4" a="1"/>
  <c r="I85" i="4"/>
  <c r="O85" i="4"/>
  <c r="M85" i="4" a="1"/>
  <c r="M85" i="4"/>
  <c r="R85" i="4"/>
  <c r="V85" i="4"/>
  <c r="N85" i="4" a="1"/>
  <c r="N85" i="4"/>
  <c r="T85" i="4"/>
  <c r="U85" i="4"/>
  <c r="X85" i="4"/>
  <c r="Q85" i="4"/>
  <c r="P85" i="4"/>
  <c r="W85" i="4"/>
  <c r="Y86" i="4"/>
  <c r="AB86" i="4"/>
  <c r="AC86" i="4"/>
  <c r="AA86" i="4"/>
  <c r="Z86" i="4"/>
  <c r="AD86" i="4"/>
  <c r="L86" i="4" a="1"/>
  <c r="L86" i="4"/>
  <c r="D86" i="4"/>
  <c r="I86" i="4" a="1"/>
  <c r="I86" i="4"/>
  <c r="K86" i="4" a="1"/>
  <c r="K86" i="4"/>
  <c r="J87" i="4" a="1"/>
  <c r="J87" i="4"/>
  <c r="J88" i="4" a="1"/>
  <c r="J88" i="4"/>
  <c r="D87" i="4"/>
  <c r="I87" i="4" a="1"/>
  <c r="I87" i="4"/>
  <c r="L87" i="4" a="1"/>
  <c r="L87" i="4"/>
  <c r="K87" i="4" a="1"/>
  <c r="K87" i="4"/>
  <c r="AA87" i="4"/>
  <c r="AC87" i="4"/>
  <c r="Z87" i="4"/>
  <c r="Y87" i="4"/>
  <c r="AD87" i="4"/>
  <c r="AB87" i="4"/>
  <c r="X86" i="4"/>
  <c r="V86" i="4"/>
  <c r="O86" i="4"/>
  <c r="Q86" i="4"/>
  <c r="N86" i="4" a="1"/>
  <c r="N86" i="4"/>
  <c r="M86" i="4" a="1"/>
  <c r="M86" i="4"/>
  <c r="P86" i="4"/>
  <c r="U86" i="4"/>
  <c r="W86" i="4"/>
  <c r="T86" i="4"/>
  <c r="R86" i="4"/>
  <c r="AB88" i="4"/>
  <c r="Z88" i="4"/>
  <c r="Y88" i="4"/>
  <c r="AD88" i="4"/>
  <c r="AC88" i="4"/>
  <c r="AA88" i="4"/>
  <c r="J89" i="4" a="1"/>
  <c r="J89" i="4"/>
  <c r="K88" i="4" a="1"/>
  <c r="K88" i="4"/>
  <c r="L88" i="4" a="1"/>
  <c r="L88" i="4"/>
  <c r="D88" i="4"/>
  <c r="I88" i="4" a="1"/>
  <c r="I88" i="4"/>
  <c r="O87" i="4"/>
  <c r="U87" i="4"/>
  <c r="N87" i="4" a="1"/>
  <c r="N87" i="4"/>
  <c r="Q87" i="4"/>
  <c r="X87" i="4"/>
  <c r="W87" i="4"/>
  <c r="V87" i="4"/>
  <c r="R87" i="4"/>
  <c r="M87" i="4" a="1"/>
  <c r="M87" i="4"/>
  <c r="P87" i="4"/>
  <c r="T87" i="4"/>
  <c r="D89" i="4"/>
  <c r="I89" i="4" a="1"/>
  <c r="I89" i="4"/>
  <c r="K89" i="4" a="1"/>
  <c r="K89" i="4"/>
  <c r="L89" i="4" a="1"/>
  <c r="L89" i="4"/>
  <c r="Y89" i="4"/>
  <c r="Z89" i="4"/>
  <c r="AC89" i="4"/>
  <c r="AD89" i="4"/>
  <c r="AA89" i="4"/>
  <c r="AB89" i="4"/>
  <c r="J90" i="4" a="1"/>
  <c r="J90" i="4"/>
  <c r="M88" i="4" a="1"/>
  <c r="M88" i="4"/>
  <c r="W88" i="4"/>
  <c r="T88" i="4"/>
  <c r="P88" i="4"/>
  <c r="O88" i="4"/>
  <c r="X88" i="4"/>
  <c r="R88" i="4"/>
  <c r="U88" i="4"/>
  <c r="N88" i="4" a="1"/>
  <c r="N88" i="4"/>
  <c r="V88" i="4"/>
  <c r="Q88" i="4"/>
  <c r="D90" i="4"/>
  <c r="I90" i="4" a="1"/>
  <c r="I90" i="4"/>
  <c r="K90" i="4" a="1"/>
  <c r="K90" i="4"/>
  <c r="L90" i="4" a="1"/>
  <c r="L90" i="4"/>
  <c r="J91" i="4" a="1"/>
  <c r="J91" i="4"/>
  <c r="N89" i="4" a="1"/>
  <c r="N89" i="4"/>
  <c r="P89" i="4"/>
  <c r="T89" i="4"/>
  <c r="M89" i="4" a="1"/>
  <c r="M89" i="4"/>
  <c r="Q89" i="4"/>
  <c r="V89" i="4"/>
  <c r="W89" i="4"/>
  <c r="U89" i="4"/>
  <c r="R89" i="4"/>
  <c r="X89" i="4"/>
  <c r="O89" i="4"/>
  <c r="Z90" i="4"/>
  <c r="AB90" i="4"/>
  <c r="AD90" i="4"/>
  <c r="AC90" i="4"/>
  <c r="AA90" i="4"/>
  <c r="Y90" i="4"/>
  <c r="X90" i="4"/>
  <c r="R90" i="4"/>
  <c r="M90" i="4" a="1"/>
  <c r="M90" i="4"/>
  <c r="W90" i="4"/>
  <c r="U90" i="4"/>
  <c r="T90" i="4"/>
  <c r="V90" i="4"/>
  <c r="O90" i="4"/>
  <c r="P90" i="4"/>
  <c r="Q90" i="4"/>
  <c r="N90" i="4" a="1"/>
  <c r="N90" i="4"/>
  <c r="D91" i="4"/>
  <c r="I91" i="4" a="1"/>
  <c r="I91" i="4"/>
  <c r="L91" i="4" a="1"/>
  <c r="L91" i="4"/>
  <c r="K91" i="4" a="1"/>
  <c r="K91" i="4"/>
  <c r="AA91" i="4"/>
  <c r="Z91" i="4"/>
  <c r="AB91" i="4"/>
  <c r="AD91" i="4"/>
  <c r="Y91" i="4"/>
  <c r="AC91" i="4"/>
  <c r="J92" i="4" a="1"/>
  <c r="J92" i="4"/>
  <c r="J93" i="4" a="1"/>
  <c r="J93" i="4"/>
  <c r="M91" i="4" a="1"/>
  <c r="M91" i="4"/>
  <c r="Q91" i="4"/>
  <c r="R91" i="4"/>
  <c r="N91" i="4" a="1"/>
  <c r="N91" i="4"/>
  <c r="X91" i="4"/>
  <c r="O91" i="4"/>
  <c r="V91" i="4"/>
  <c r="U91" i="4"/>
  <c r="P91" i="4"/>
  <c r="W91" i="4"/>
  <c r="T91" i="4"/>
  <c r="AB92" i="4"/>
  <c r="Z92" i="4"/>
  <c r="AA92" i="4"/>
  <c r="Y92" i="4"/>
  <c r="AC92" i="4"/>
  <c r="AD92" i="4"/>
  <c r="D92" i="4"/>
  <c r="I92" i="4" a="1"/>
  <c r="I92" i="4"/>
  <c r="L92" i="4" a="1"/>
  <c r="L92" i="4"/>
  <c r="K92" i="4" a="1"/>
  <c r="K92" i="4"/>
  <c r="AB93" i="4"/>
  <c r="AC93" i="4"/>
  <c r="AA93" i="4"/>
  <c r="AD93" i="4"/>
  <c r="Y93" i="4"/>
  <c r="Z93" i="4"/>
  <c r="J94" i="4" a="1"/>
  <c r="J94" i="4"/>
  <c r="R92" i="4"/>
  <c r="N92" i="4" a="1"/>
  <c r="N92" i="4"/>
  <c r="T92" i="4"/>
  <c r="W92" i="4"/>
  <c r="P92" i="4"/>
  <c r="O92" i="4"/>
  <c r="V92" i="4"/>
  <c r="X92" i="4"/>
  <c r="M92" i="4" a="1"/>
  <c r="M92" i="4"/>
  <c r="Q92" i="4"/>
  <c r="U92" i="4"/>
  <c r="K93" i="4" a="1"/>
  <c r="K93" i="4"/>
  <c r="L93" i="4" a="1"/>
  <c r="L93" i="4"/>
  <c r="D93" i="4"/>
  <c r="I93" i="4" a="1"/>
  <c r="I93" i="4"/>
  <c r="Q93" i="4"/>
  <c r="X93" i="4"/>
  <c r="T93" i="4"/>
  <c r="U93" i="4"/>
  <c r="O93" i="4"/>
  <c r="R93" i="4"/>
  <c r="M93" i="4" a="1"/>
  <c r="M93" i="4"/>
  <c r="P93" i="4"/>
  <c r="N93" i="4" a="1"/>
  <c r="N93" i="4"/>
  <c r="W93" i="4"/>
  <c r="V93" i="4"/>
  <c r="K94" i="4" a="1"/>
  <c r="K94" i="4"/>
  <c r="L94" i="4" a="1"/>
  <c r="L94" i="4"/>
  <c r="D94" i="4"/>
  <c r="I94" i="4" a="1"/>
  <c r="I94" i="4"/>
  <c r="AC94" i="4"/>
  <c r="Z94" i="4"/>
  <c r="Y94" i="4"/>
  <c r="AD94" i="4"/>
  <c r="AB94" i="4"/>
  <c r="AA94" i="4"/>
  <c r="J95" i="4" a="1"/>
  <c r="J95" i="4"/>
  <c r="AA95" i="4"/>
  <c r="Z95" i="4"/>
  <c r="AD95" i="4"/>
  <c r="AC95" i="4"/>
  <c r="AB95" i="4"/>
  <c r="Y95" i="4"/>
  <c r="T94" i="4"/>
  <c r="W94" i="4"/>
  <c r="M94" i="4" a="1"/>
  <c r="M94" i="4"/>
  <c r="N94" i="4" a="1"/>
  <c r="N94" i="4"/>
  <c r="O94" i="4"/>
  <c r="X94" i="4"/>
  <c r="V94" i="4"/>
  <c r="Q94" i="4"/>
  <c r="P94" i="4"/>
  <c r="R94" i="4"/>
  <c r="U94" i="4"/>
  <c r="J96" i="4" a="1"/>
  <c r="J96" i="4"/>
  <c r="K95" i="4" a="1"/>
  <c r="K95" i="4"/>
  <c r="D95" i="4"/>
  <c r="I95" i="4" a="1"/>
  <c r="I95" i="4"/>
  <c r="L95" i="4" a="1"/>
  <c r="L95" i="4"/>
  <c r="J97" i="4" a="1"/>
  <c r="J97" i="4"/>
  <c r="X95" i="4"/>
  <c r="Q95" i="4"/>
  <c r="W95" i="4"/>
  <c r="T95" i="4"/>
  <c r="U95" i="4"/>
  <c r="M95" i="4" a="1"/>
  <c r="M95" i="4"/>
  <c r="V95" i="4"/>
  <c r="O95" i="4"/>
  <c r="R95" i="4"/>
  <c r="P95" i="4"/>
  <c r="N95" i="4" a="1"/>
  <c r="N95" i="4"/>
  <c r="D96" i="4"/>
  <c r="I96" i="4" a="1"/>
  <c r="I96" i="4"/>
  <c r="K96" i="4" a="1"/>
  <c r="K96" i="4"/>
  <c r="L96" i="4" a="1"/>
  <c r="L96" i="4"/>
  <c r="AD96" i="4"/>
  <c r="AA96" i="4"/>
  <c r="AC96" i="4"/>
  <c r="Z96" i="4"/>
  <c r="AB96" i="4"/>
  <c r="Y96" i="4"/>
  <c r="J98" i="4" a="1"/>
  <c r="J98" i="4"/>
  <c r="L97" i="4" a="1"/>
  <c r="L97" i="4"/>
  <c r="K97" i="4" a="1"/>
  <c r="K97" i="4"/>
  <c r="D97" i="4"/>
  <c r="I97" i="4" a="1"/>
  <c r="I97" i="4"/>
  <c r="V96" i="4"/>
  <c r="T96" i="4"/>
  <c r="U96" i="4"/>
  <c r="Q96" i="4"/>
  <c r="R96" i="4"/>
  <c r="M96" i="4" a="1"/>
  <c r="M96" i="4"/>
  <c r="N96" i="4" a="1"/>
  <c r="N96" i="4"/>
  <c r="O96" i="4"/>
  <c r="W96" i="4"/>
  <c r="P96" i="4"/>
  <c r="X96" i="4"/>
  <c r="Y97" i="4"/>
  <c r="AA97" i="4"/>
  <c r="AD97" i="4"/>
  <c r="AC97" i="4"/>
  <c r="AB97" i="4"/>
  <c r="Z97" i="4"/>
  <c r="Q97" i="4"/>
  <c r="T97" i="4"/>
  <c r="P97" i="4"/>
  <c r="O97" i="4"/>
  <c r="R97" i="4"/>
  <c r="W97" i="4"/>
  <c r="V97" i="4"/>
  <c r="N97" i="4" a="1"/>
  <c r="N97" i="4"/>
  <c r="X97" i="4"/>
  <c r="M97" i="4" a="1"/>
  <c r="M97" i="4"/>
  <c r="U97" i="4"/>
  <c r="AB98" i="4"/>
  <c r="AC98" i="4"/>
  <c r="Y98" i="4"/>
  <c r="AA98" i="4"/>
  <c r="AD98" i="4"/>
  <c r="Z98" i="4"/>
  <c r="J99" i="4" a="1"/>
  <c r="J99" i="4"/>
  <c r="L98" i="4" a="1"/>
  <c r="L98" i="4"/>
  <c r="K98" i="4" a="1"/>
  <c r="K98" i="4"/>
  <c r="D98" i="4"/>
  <c r="I98" i="4" a="1"/>
  <c r="I98" i="4"/>
  <c r="J101" i="4" a="1"/>
  <c r="J101" i="4"/>
  <c r="J100" i="4" a="1"/>
  <c r="J100" i="4"/>
  <c r="D99" i="4"/>
  <c r="I99" i="4" a="1"/>
  <c r="I99" i="4"/>
  <c r="K99" i="4" a="1"/>
  <c r="K99" i="4"/>
  <c r="L99" i="4" a="1"/>
  <c r="L99" i="4"/>
  <c r="T98" i="4"/>
  <c r="U98" i="4"/>
  <c r="V98" i="4"/>
  <c r="O98" i="4"/>
  <c r="X98" i="4"/>
  <c r="R98" i="4"/>
  <c r="N98" i="4" a="1"/>
  <c r="N98" i="4"/>
  <c r="Q98" i="4"/>
  <c r="W98" i="4"/>
  <c r="P98" i="4"/>
  <c r="M98" i="4" a="1"/>
  <c r="M98" i="4"/>
  <c r="Y99" i="4"/>
  <c r="AC99" i="4"/>
  <c r="AB99" i="4"/>
  <c r="AD99" i="4"/>
  <c r="AA99" i="4"/>
  <c r="Z99" i="4"/>
  <c r="J102" i="4" a="1"/>
  <c r="J102" i="4"/>
  <c r="D101" i="4"/>
  <c r="I101" i="4" a="1"/>
  <c r="I101" i="4"/>
  <c r="AC101" i="4"/>
  <c r="Z101" i="4"/>
  <c r="Y101" i="4"/>
  <c r="AA101" i="4"/>
  <c r="AD101" i="4"/>
  <c r="AB101" i="4"/>
  <c r="L101" i="4" a="1"/>
  <c r="L101" i="4"/>
  <c r="K101" i="4" a="1"/>
  <c r="K101" i="4"/>
  <c r="W99" i="4"/>
  <c r="N99" i="4" a="1"/>
  <c r="N99" i="4"/>
  <c r="V99" i="4"/>
  <c r="M99" i="4" a="1"/>
  <c r="M99" i="4"/>
  <c r="T99" i="4"/>
  <c r="X99" i="4"/>
  <c r="O99" i="4"/>
  <c r="P99" i="4"/>
  <c r="Q99" i="4"/>
  <c r="U99" i="4"/>
  <c r="R99" i="4"/>
  <c r="AD100" i="4"/>
  <c r="AB100" i="4"/>
  <c r="Y100" i="4"/>
  <c r="AA100" i="4"/>
  <c r="Z100" i="4"/>
  <c r="AC100" i="4"/>
  <c r="D100" i="4"/>
  <c r="I100" i="4" a="1"/>
  <c r="I100" i="4"/>
  <c r="L100" i="4" a="1"/>
  <c r="L100" i="4"/>
  <c r="K100" i="4" a="1"/>
  <c r="K100" i="4"/>
  <c r="Y102" i="4"/>
  <c r="AA102" i="4"/>
  <c r="AC102" i="4"/>
  <c r="AB102" i="4"/>
  <c r="AD102" i="4"/>
  <c r="Z102" i="4"/>
  <c r="M101" i="4" a="1"/>
  <c r="M101" i="4"/>
  <c r="N101" i="4" a="1"/>
  <c r="N101" i="4"/>
  <c r="Q101" i="4"/>
  <c r="O101" i="4"/>
  <c r="U101" i="4"/>
  <c r="T101" i="4"/>
  <c r="X101" i="4"/>
  <c r="R101" i="4"/>
  <c r="P101" i="4"/>
  <c r="V101" i="4"/>
  <c r="W101" i="4"/>
  <c r="D102" i="4"/>
  <c r="I102" i="4" a="1"/>
  <c r="I102" i="4"/>
  <c r="K102" i="4" a="1"/>
  <c r="K102" i="4"/>
  <c r="L102" i="4" a="1"/>
  <c r="L102" i="4"/>
  <c r="J103" i="4" a="1"/>
  <c r="J103" i="4"/>
  <c r="V100" i="4"/>
  <c r="U100" i="4"/>
  <c r="N100" i="4" a="1"/>
  <c r="N100" i="4"/>
  <c r="O100" i="4"/>
  <c r="P100" i="4"/>
  <c r="X100" i="4"/>
  <c r="T100" i="4"/>
  <c r="Q100" i="4"/>
  <c r="R100" i="4"/>
  <c r="M100" i="4" a="1"/>
  <c r="M100" i="4"/>
  <c r="W100" i="4"/>
  <c r="J104" i="4" a="1"/>
  <c r="J104" i="4"/>
  <c r="L103" i="4" a="1"/>
  <c r="L103" i="4"/>
  <c r="D103" i="4"/>
  <c r="I103" i="4" a="1"/>
  <c r="I103" i="4"/>
  <c r="K103" i="4" a="1"/>
  <c r="K103" i="4"/>
  <c r="AB103" i="4"/>
  <c r="AD103" i="4"/>
  <c r="Y103" i="4"/>
  <c r="Z103" i="4"/>
  <c r="AA103" i="4"/>
  <c r="AC103" i="4"/>
  <c r="N102" i="4" a="1"/>
  <c r="N102" i="4"/>
  <c r="V102" i="4"/>
  <c r="Q102" i="4"/>
  <c r="P102" i="4"/>
  <c r="T102" i="4"/>
  <c r="R102" i="4"/>
  <c r="U102" i="4"/>
  <c r="X102" i="4"/>
  <c r="O102" i="4"/>
  <c r="M102" i="4" a="1"/>
  <c r="M102" i="4"/>
  <c r="W102" i="4"/>
  <c r="K104" i="4" a="1"/>
  <c r="K104" i="4"/>
  <c r="D104" i="4"/>
  <c r="I104" i="4" a="1"/>
  <c r="I104" i="4"/>
  <c r="L104" i="4" a="1"/>
  <c r="L104" i="4"/>
  <c r="N103" i="4" a="1"/>
  <c r="N103" i="4"/>
  <c r="R103" i="4"/>
  <c r="X103" i="4"/>
  <c r="M103" i="4" a="1"/>
  <c r="M103" i="4"/>
  <c r="P103" i="4"/>
  <c r="Q103" i="4"/>
  <c r="V103" i="4"/>
  <c r="T103" i="4"/>
  <c r="U103" i="4"/>
  <c r="O103" i="4"/>
  <c r="W103" i="4"/>
  <c r="J105" i="4" a="1"/>
  <c r="J105" i="4"/>
  <c r="Y104" i="4"/>
  <c r="AA104" i="4"/>
  <c r="Z104" i="4"/>
  <c r="AD104" i="4"/>
  <c r="AB104" i="4"/>
  <c r="AC104" i="4"/>
  <c r="J106" i="4" a="1"/>
  <c r="J106" i="4"/>
  <c r="K105" i="4" a="1"/>
  <c r="K105" i="4"/>
  <c r="D105" i="4"/>
  <c r="I105" i="4" a="1"/>
  <c r="I105" i="4"/>
  <c r="L105" i="4" a="1"/>
  <c r="L105" i="4"/>
  <c r="Z105" i="4"/>
  <c r="AB105" i="4"/>
  <c r="AA105" i="4"/>
  <c r="Y105" i="4"/>
  <c r="AD105" i="4"/>
  <c r="AC105" i="4"/>
  <c r="X104" i="4"/>
  <c r="N104" i="4" a="1"/>
  <c r="N104" i="4"/>
  <c r="M104" i="4" a="1"/>
  <c r="M104" i="4"/>
  <c r="Q104" i="4"/>
  <c r="T104" i="4"/>
  <c r="W104" i="4"/>
  <c r="V104" i="4"/>
  <c r="U104" i="4"/>
  <c r="P104" i="4"/>
  <c r="O104" i="4"/>
  <c r="R104" i="4"/>
  <c r="V105" i="4"/>
  <c r="M105" i="4" a="1"/>
  <c r="M105" i="4"/>
  <c r="Q105" i="4"/>
  <c r="X105" i="4"/>
  <c r="R105" i="4"/>
  <c r="N105" i="4" a="1"/>
  <c r="N105" i="4"/>
  <c r="U105" i="4"/>
  <c r="O105" i="4"/>
  <c r="T105" i="4"/>
  <c r="P105" i="4"/>
  <c r="W105" i="4"/>
  <c r="K106" i="4" a="1"/>
  <c r="K106" i="4"/>
  <c r="L106" i="4" a="1"/>
  <c r="L106" i="4"/>
  <c r="D106" i="4"/>
  <c r="I106" i="4" a="1"/>
  <c r="I106" i="4"/>
  <c r="J107" i="4" a="1"/>
  <c r="J107" i="4"/>
  <c r="Y106" i="4"/>
  <c r="AC106" i="4"/>
  <c r="AA106" i="4"/>
  <c r="AD106" i="4"/>
  <c r="Z106" i="4"/>
  <c r="AB106" i="4"/>
  <c r="AB107" i="4"/>
  <c r="AA107" i="4"/>
  <c r="Y107" i="4"/>
  <c r="AD107" i="4"/>
  <c r="AC107" i="4"/>
  <c r="Z107" i="4"/>
  <c r="K107" i="4" a="1"/>
  <c r="K107" i="4"/>
  <c r="D107" i="4"/>
  <c r="I107" i="4" a="1"/>
  <c r="I107" i="4"/>
  <c r="L107" i="4" a="1"/>
  <c r="L107" i="4"/>
  <c r="J108" i="4" a="1"/>
  <c r="J108" i="4"/>
  <c r="U106" i="4"/>
  <c r="O106" i="4"/>
  <c r="M106" i="4" a="1"/>
  <c r="M106" i="4"/>
  <c r="R106" i="4"/>
  <c r="W106" i="4"/>
  <c r="N106" i="4" a="1"/>
  <c r="N106" i="4"/>
  <c r="V106" i="4"/>
  <c r="P106" i="4"/>
  <c r="Q106" i="4"/>
  <c r="T106" i="4"/>
  <c r="X106" i="4"/>
  <c r="L108" i="4" a="1"/>
  <c r="L108" i="4"/>
  <c r="K108" i="4" a="1"/>
  <c r="K108" i="4"/>
  <c r="D108" i="4"/>
  <c r="I108" i="4" a="1"/>
  <c r="I108" i="4"/>
  <c r="T107" i="4"/>
  <c r="U107" i="4"/>
  <c r="M107" i="4" a="1"/>
  <c r="M107" i="4"/>
  <c r="X107" i="4"/>
  <c r="O107" i="4"/>
  <c r="N107" i="4" a="1"/>
  <c r="N107" i="4"/>
  <c r="W107" i="4"/>
  <c r="V107" i="4"/>
  <c r="P107" i="4"/>
  <c r="Q107" i="4"/>
  <c r="R107" i="4"/>
  <c r="AC108" i="4"/>
  <c r="AA108" i="4"/>
  <c r="AD108" i="4"/>
  <c r="AB108" i="4"/>
  <c r="Y108" i="4"/>
  <c r="Z108" i="4"/>
  <c r="J109" i="4" a="1"/>
  <c r="J109" i="4"/>
  <c r="K109" i="4" a="1"/>
  <c r="K109" i="4"/>
  <c r="L109" i="4" a="1"/>
  <c r="L109" i="4"/>
  <c r="D109" i="4"/>
  <c r="I109" i="4" a="1"/>
  <c r="I109" i="4"/>
  <c r="O108" i="4"/>
  <c r="T108" i="4"/>
  <c r="U108" i="4"/>
  <c r="W108" i="4"/>
  <c r="R108" i="4"/>
  <c r="M108" i="4" a="1"/>
  <c r="M108" i="4"/>
  <c r="P108" i="4"/>
  <c r="X108" i="4"/>
  <c r="V108" i="4"/>
  <c r="Q108" i="4"/>
  <c r="N108" i="4" a="1"/>
  <c r="N108" i="4"/>
  <c r="Z109" i="4"/>
  <c r="Y109" i="4"/>
  <c r="AD109" i="4"/>
  <c r="AB109" i="4"/>
  <c r="AA109" i="4"/>
  <c r="AC109" i="4"/>
  <c r="J110" i="4" a="1"/>
  <c r="J110" i="4"/>
  <c r="Z110" i="4"/>
  <c r="AB110" i="4"/>
  <c r="AD110" i="4"/>
  <c r="AC110" i="4"/>
  <c r="AA110" i="4"/>
  <c r="Y110" i="4"/>
  <c r="V109" i="4"/>
  <c r="W109" i="4"/>
  <c r="X109" i="4"/>
  <c r="M109" i="4" a="1"/>
  <c r="M109" i="4"/>
  <c r="N109" i="4" a="1"/>
  <c r="N109" i="4"/>
  <c r="Q109" i="4"/>
  <c r="O109" i="4"/>
  <c r="U109" i="4"/>
  <c r="T109" i="4"/>
  <c r="R109" i="4"/>
  <c r="P109" i="4"/>
  <c r="J111" i="4" a="1"/>
  <c r="J111" i="4"/>
  <c r="D110" i="4"/>
  <c r="I110" i="4" a="1"/>
  <c r="I110" i="4"/>
  <c r="K110" i="4" a="1"/>
  <c r="K110" i="4"/>
  <c r="L110" i="4" a="1"/>
  <c r="L110" i="4"/>
  <c r="N110" i="4" a="1"/>
  <c r="N110" i="4"/>
  <c r="O110" i="4"/>
  <c r="T110" i="4"/>
  <c r="R110" i="4"/>
  <c r="P110" i="4"/>
  <c r="Q110" i="4"/>
  <c r="V110" i="4"/>
  <c r="W110" i="4"/>
  <c r="U110" i="4"/>
  <c r="M110" i="4" a="1"/>
  <c r="M110" i="4"/>
  <c r="X110" i="4"/>
  <c r="J112" i="4" a="1"/>
  <c r="J112" i="4"/>
  <c r="AD111" i="4"/>
  <c r="Y111" i="4"/>
  <c r="AB111" i="4"/>
  <c r="Z111" i="4"/>
  <c r="AC111" i="4"/>
  <c r="AA111" i="4"/>
  <c r="L111" i="4" a="1"/>
  <c r="L111" i="4"/>
  <c r="D111" i="4"/>
  <c r="I111" i="4" a="1"/>
  <c r="I111" i="4"/>
  <c r="K111" i="4" a="1"/>
  <c r="K111" i="4"/>
  <c r="D112" i="4"/>
  <c r="I112" i="4" a="1"/>
  <c r="I112" i="4"/>
  <c r="L112" i="4" a="1"/>
  <c r="L112" i="4"/>
  <c r="K112" i="4" a="1"/>
  <c r="K112" i="4"/>
  <c r="Q111" i="4"/>
  <c r="T111" i="4"/>
  <c r="P111" i="4"/>
  <c r="R111" i="4"/>
  <c r="W111" i="4"/>
  <c r="X111" i="4"/>
  <c r="N111" i="4" a="1"/>
  <c r="N111" i="4"/>
  <c r="V111" i="4"/>
  <c r="M111" i="4" a="1"/>
  <c r="M111" i="4"/>
  <c r="U111" i="4"/>
  <c r="O111" i="4"/>
  <c r="Y112" i="4"/>
  <c r="AD112" i="4"/>
  <c r="Z112" i="4"/>
  <c r="AB112" i="4"/>
  <c r="AA112" i="4"/>
  <c r="AC112" i="4"/>
  <c r="J113" i="4" a="1"/>
  <c r="J113" i="4"/>
  <c r="K113" i="4" a="1"/>
  <c r="K113" i="4"/>
  <c r="D113" i="4"/>
  <c r="I113" i="4" a="1"/>
  <c r="I113" i="4"/>
  <c r="L113" i="4" a="1"/>
  <c r="L113" i="4"/>
  <c r="J114" i="4" a="1"/>
  <c r="J114" i="4"/>
  <c r="AA113" i="4"/>
  <c r="Y113" i="4"/>
  <c r="AC113" i="4"/>
  <c r="AB113" i="4"/>
  <c r="AD113" i="4"/>
  <c r="Z113" i="4"/>
  <c r="P112" i="4"/>
  <c r="Q112" i="4"/>
  <c r="R112" i="4"/>
  <c r="X112" i="4"/>
  <c r="M112" i="4" a="1"/>
  <c r="M112" i="4"/>
  <c r="T112" i="4"/>
  <c r="U112" i="4"/>
  <c r="V112" i="4"/>
  <c r="O112" i="4"/>
  <c r="N112" i="4" a="1"/>
  <c r="N112" i="4"/>
  <c r="W112" i="4"/>
  <c r="Z114" i="4"/>
  <c r="AB114" i="4"/>
  <c r="AA114" i="4"/>
  <c r="AD114" i="4"/>
  <c r="Y114" i="4"/>
  <c r="AC114" i="4"/>
  <c r="J115" i="4" a="1"/>
  <c r="J115" i="4"/>
  <c r="K114" i="4" a="1"/>
  <c r="K114" i="4"/>
  <c r="L114" i="4" a="1"/>
  <c r="L114" i="4"/>
  <c r="D114" i="4"/>
  <c r="I114" i="4" a="1"/>
  <c r="I114" i="4"/>
  <c r="O113" i="4"/>
  <c r="T113" i="4"/>
  <c r="U113" i="4"/>
  <c r="W113" i="4"/>
  <c r="R113" i="4"/>
  <c r="V113" i="4"/>
  <c r="N113" i="4" a="1"/>
  <c r="N113" i="4"/>
  <c r="X113" i="4"/>
  <c r="Q113" i="4"/>
  <c r="M113" i="4" a="1"/>
  <c r="M113" i="4"/>
  <c r="P113" i="4"/>
  <c r="Y115" i="4"/>
  <c r="AA115" i="4"/>
  <c r="AC115" i="4"/>
  <c r="AB115" i="4"/>
  <c r="AD115" i="4"/>
  <c r="Z115" i="4"/>
  <c r="J116" i="4" a="1"/>
  <c r="J116" i="4"/>
  <c r="O114" i="4"/>
  <c r="U114" i="4"/>
  <c r="N114" i="4" a="1"/>
  <c r="N114" i="4"/>
  <c r="Q114" i="4"/>
  <c r="X114" i="4"/>
  <c r="M114" i="4" a="1"/>
  <c r="M114" i="4"/>
  <c r="T114" i="4"/>
  <c r="W114" i="4"/>
  <c r="V114" i="4"/>
  <c r="R114" i="4"/>
  <c r="P114" i="4"/>
  <c r="K115" i="4" a="1"/>
  <c r="K115" i="4"/>
  <c r="D115" i="4"/>
  <c r="I115" i="4" a="1"/>
  <c r="I115" i="4"/>
  <c r="L115" i="4" a="1"/>
  <c r="L115" i="4"/>
  <c r="AA116" i="4"/>
  <c r="AC116" i="4"/>
  <c r="AB116" i="4"/>
  <c r="AD116" i="4"/>
  <c r="Y116" i="4"/>
  <c r="Z116" i="4"/>
  <c r="J117" i="4" a="1"/>
  <c r="J117" i="4"/>
  <c r="N115" i="4" a="1"/>
  <c r="N115" i="4"/>
  <c r="V115" i="4"/>
  <c r="Q115" i="4"/>
  <c r="P115" i="4"/>
  <c r="W115" i="4"/>
  <c r="R115" i="4"/>
  <c r="O115" i="4"/>
  <c r="U115" i="4"/>
  <c r="X115" i="4"/>
  <c r="T115" i="4"/>
  <c r="M115" i="4" a="1"/>
  <c r="M115" i="4"/>
  <c r="D116" i="4"/>
  <c r="I116" i="4" a="1"/>
  <c r="I116" i="4"/>
  <c r="K116" i="4" a="1"/>
  <c r="K116" i="4"/>
  <c r="L116" i="4" a="1"/>
  <c r="L116" i="4"/>
  <c r="X116" i="4"/>
  <c r="M116" i="4" a="1"/>
  <c r="M116" i="4"/>
  <c r="O116" i="4"/>
  <c r="R116" i="4"/>
  <c r="N116" i="4" a="1"/>
  <c r="N116" i="4"/>
  <c r="W116" i="4"/>
  <c r="P116" i="4"/>
  <c r="Q116" i="4"/>
  <c r="V116" i="4"/>
  <c r="T116" i="4"/>
  <c r="U116" i="4"/>
  <c r="J118" i="4" a="1"/>
  <c r="J118" i="4"/>
  <c r="AA117" i="4"/>
  <c r="Z117" i="4"/>
  <c r="AB117" i="4"/>
  <c r="AC117" i="4"/>
  <c r="AD117" i="4"/>
  <c r="Y117" i="4"/>
  <c r="D117" i="4"/>
  <c r="I117" i="4" a="1"/>
  <c r="I117" i="4"/>
  <c r="L117" i="4" a="1"/>
  <c r="L117" i="4"/>
  <c r="K117" i="4" a="1"/>
  <c r="K117" i="4"/>
  <c r="Z118" i="4"/>
  <c r="AD118" i="4"/>
  <c r="AC118" i="4"/>
  <c r="AB118" i="4"/>
  <c r="AA118" i="4"/>
  <c r="Y118" i="4"/>
  <c r="X117" i="4"/>
  <c r="R117" i="4"/>
  <c r="M117" i="4" a="1"/>
  <c r="M117" i="4"/>
  <c r="P117" i="4"/>
  <c r="W117" i="4"/>
  <c r="V117" i="4"/>
  <c r="U117" i="4"/>
  <c r="Q117" i="4"/>
  <c r="O117" i="4"/>
  <c r="T117" i="4"/>
  <c r="N117" i="4" a="1"/>
  <c r="N117" i="4"/>
  <c r="J119" i="4" a="1"/>
  <c r="J119" i="4"/>
  <c r="D118" i="4"/>
  <c r="I118" i="4" a="1"/>
  <c r="I118" i="4"/>
  <c r="L118" i="4" a="1"/>
  <c r="L118" i="4"/>
  <c r="K118" i="4" a="1"/>
  <c r="K118" i="4"/>
  <c r="J120" i="4" a="1"/>
  <c r="J120" i="4"/>
  <c r="K119" i="4" a="1"/>
  <c r="K119" i="4"/>
  <c r="L119" i="4" a="1"/>
  <c r="L119" i="4"/>
  <c r="D119" i="4"/>
  <c r="I119" i="4" a="1"/>
  <c r="I119" i="4"/>
  <c r="O118" i="4"/>
  <c r="U118" i="4"/>
  <c r="R118" i="4"/>
  <c r="W118" i="4"/>
  <c r="V118" i="4"/>
  <c r="T118" i="4"/>
  <c r="M118" i="4" a="1"/>
  <c r="M118" i="4"/>
  <c r="P118" i="4"/>
  <c r="N118" i="4" a="1"/>
  <c r="N118" i="4"/>
  <c r="Q118" i="4"/>
  <c r="X118" i="4"/>
  <c r="AD119" i="4"/>
  <c r="Y119" i="4"/>
  <c r="AB119" i="4"/>
  <c r="Z119" i="4"/>
  <c r="AC119" i="4"/>
  <c r="AA119" i="4"/>
  <c r="L120" i="4" a="1"/>
  <c r="L120" i="4"/>
  <c r="D120" i="4"/>
  <c r="I120" i="4" a="1"/>
  <c r="I120" i="4"/>
  <c r="K120" i="4" a="1"/>
  <c r="K120" i="4"/>
  <c r="R119" i="4"/>
  <c r="U119" i="4"/>
  <c r="N119" i="4" a="1"/>
  <c r="N119" i="4"/>
  <c r="V119" i="4"/>
  <c r="Q119" i="4"/>
  <c r="P119" i="4"/>
  <c r="O119" i="4"/>
  <c r="M119" i="4" a="1"/>
  <c r="M119" i="4"/>
  <c r="W119" i="4"/>
  <c r="X119" i="4"/>
  <c r="T119" i="4"/>
  <c r="AA120" i="4"/>
  <c r="AC120" i="4"/>
  <c r="Y120" i="4"/>
  <c r="AB120" i="4"/>
  <c r="AD120" i="4"/>
  <c r="Z120" i="4"/>
  <c r="O120" i="4"/>
  <c r="T120" i="4"/>
  <c r="Q120" i="4"/>
  <c r="W120" i="4"/>
  <c r="M120" i="4" a="1"/>
  <c r="M120" i="4"/>
  <c r="P120" i="4"/>
  <c r="N120" i="4" a="1"/>
  <c r="N120" i="4"/>
  <c r="X120" i="4"/>
  <c r="U120" i="4"/>
  <c r="R120" i="4"/>
  <c r="V12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<sst xmlns="http://schemas.openxmlformats.org/spreadsheetml/2006/main" count="211" uniqueCount="102">
  <si>
    <t>Settings</t>
  </si>
  <si>
    <t>Budget Tracking</t>
  </si>
  <si>
    <t>Budget Planning</t>
  </si>
  <si>
    <t>Calculations</t>
  </si>
  <si>
    <t>Dropdown Data</t>
  </si>
  <si>
    <t>Budget Dashboard</t>
  </si>
  <si>
    <t>General</t>
  </si>
  <si>
    <t>Starting Year:</t>
  </si>
  <si>
    <t>Set the starting year (yyyy) once at the beginning and do not change it again.</t>
  </si>
  <si>
    <t>Define starting year in Settings ➜</t>
  </si>
  <si>
    <t>Income</t>
  </si>
  <si>
    <t>Enter Income Category…</t>
  </si>
  <si>
    <t>Total</t>
  </si>
  <si>
    <t>Expenses</t>
  </si>
  <si>
    <t>Enter Expenses Category…</t>
  </si>
  <si>
    <t>Savings</t>
  </si>
  <si>
    <t>Enter Savings Category…</t>
  </si>
  <si>
    <t>To be allocated:</t>
  </si>
  <si>
    <t>Date</t>
  </si>
  <si>
    <t>Type</t>
  </si>
  <si>
    <t>Category</t>
  </si>
  <si>
    <t>Amount</t>
  </si>
  <si>
    <t>Details</t>
  </si>
  <si>
    <t>Balance</t>
  </si>
  <si>
    <t>Effective Date</t>
  </si>
  <si>
    <t>Budget Tracking &amp; Dashboard</t>
  </si>
  <si>
    <t>Late Monthly Income</t>
  </si>
  <si>
    <t>Shift late income:</t>
  </si>
  <si>
    <t>Starting on day x in month:</t>
  </si>
  <si>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</si>
  <si>
    <t>Worksheet: Budget Tracking</t>
  </si>
  <si>
    <t>Today:</t>
  </si>
  <si>
    <t>Last Record:</t>
  </si>
  <si>
    <t>Delta Last Record:</t>
  </si>
  <si>
    <t># Records:</t>
  </si>
  <si>
    <t># Records this year:</t>
  </si>
  <si>
    <t>Tracking Balance:</t>
  </si>
  <si>
    <t>Balance Analysis Text:</t>
  </si>
  <si>
    <t>Year</t>
  </si>
  <si>
    <t>Select the year to view ➜</t>
  </si>
  <si>
    <t>Period</t>
  </si>
  <si>
    <t>Select the period to view ➜</t>
  </si>
  <si>
    <t>Year Dropdown</t>
  </si>
  <si>
    <t>Current Year</t>
  </si>
  <si>
    <t>Period Dropdown</t>
  </si>
  <si>
    <t>Total Year</t>
  </si>
  <si>
    <t>Current Month</t>
  </si>
  <si>
    <t>Worksheet: Budget Dashboard</t>
  </si>
  <si>
    <t>Selected Year:</t>
  </si>
  <si>
    <t>Selected Period:</t>
  </si>
  <si>
    <t>Selected Period (Display):</t>
  </si>
  <si>
    <t>row_id</t>
  </si>
  <si>
    <t>header_row_id</t>
  </si>
  <si>
    <t>is_header</t>
  </si>
  <si>
    <t>is_cat</t>
  </si>
  <si>
    <t>is_total</t>
  </si>
  <si>
    <t>is_empty</t>
  </si>
  <si>
    <t>type</t>
  </si>
  <si>
    <t>item</t>
  </si>
  <si>
    <t>tracked</t>
  </si>
  <si>
    <t>budget</t>
  </si>
  <si>
    <t>sort_min_row</t>
  </si>
  <si>
    <t>sort_max_row</t>
  </si>
  <si>
    <t>tracked_range</t>
  </si>
  <si>
    <t>tracked_rank</t>
  </si>
  <si>
    <t>budget_range</t>
  </si>
  <si>
    <t>budget_rank</t>
  </si>
  <si>
    <t>comb_rank</t>
  </si>
  <si>
    <t>comb_rank_range</t>
  </si>
  <si>
    <t>comb_rank_norm</t>
  </si>
  <si>
    <t>comb_rank_norm_run_range</t>
  </si>
  <si>
    <t>comb_rank_unique</t>
  </si>
  <si>
    <t>sorted_row_id [Lookup]</t>
  </si>
  <si>
    <r>
      <rPr>
        <b/>
        <sz val="11"/>
        <color theme="8"/>
        <rFont val="Calibri"/>
        <family val="2"/>
        <scheme val="minor"/>
      </rPr>
      <t>Chart Calculations:</t>
    </r>
    <r>
      <rPr>
        <sz val="11"/>
        <color theme="8"/>
        <rFont val="Calibri"/>
        <family val="2"/>
        <scheme val="minor"/>
      </rPr>
      <t xml:space="preserve"> Category Distribution Charts</t>
    </r>
  </si>
  <si>
    <r>
      <rPr>
        <b/>
        <sz val="11"/>
        <color theme="8"/>
        <rFont val="Calibri"/>
        <family val="2"/>
        <scheme val="minor"/>
      </rPr>
      <t>Chart Calculations:</t>
    </r>
    <r>
      <rPr>
        <sz val="11"/>
        <color theme="8"/>
        <rFont val="Calibri"/>
        <family val="2"/>
        <scheme val="minor"/>
      </rPr>
      <t xml:space="preserve"> Tracked (vs. Budget) Chart</t>
    </r>
  </si>
  <si>
    <t>Month</t>
  </si>
  <si>
    <t>Month Num.</t>
  </si>
  <si>
    <t>In Focus</t>
  </si>
  <si>
    <t>Show Type</t>
  </si>
  <si>
    <t>Show Rem. Budget</t>
  </si>
  <si>
    <t>Tracked</t>
  </si>
  <si>
    <t>Budget</t>
  </si>
  <si>
    <t>Delta</t>
  </si>
  <si>
    <t>Period in Focus</t>
  </si>
  <si>
    <t>In Budget</t>
  </si>
  <si>
    <t>Remaining</t>
  </si>
  <si>
    <t>Excess</t>
  </si>
  <si>
    <t>Period not in Focus</t>
  </si>
  <si>
    <t>Show Income:</t>
  </si>
  <si>
    <t>Show Expenses:</t>
  </si>
  <si>
    <t>Show Savings:</t>
  </si>
  <si>
    <t>Show Rem. Budget:</t>
  </si>
  <si>
    <t>Days in Period:</t>
  </si>
  <si>
    <t>Days passed in Period:</t>
  </si>
  <si>
    <t>Days passed in Period %:</t>
  </si>
  <si>
    <t>Period Tracking Balance:</t>
  </si>
  <si>
    <t>Period Savings Rate:</t>
  </si>
  <si>
    <t>KPI Calculation in Dashboard</t>
  </si>
  <si>
    <t>Savings Rate as % of Income:</t>
  </si>
  <si>
    <t>% allocated to Savings</t>
  </si>
  <si>
    <t>Choose how you want the savings rate (SR) to be calculated in the dashboard KPI tiles:
1) Active Option (% allocated to Savings):                              SR = Savings / Income
2) Passive Option (% not allocated to Expenses):                 SR = (Income - Expenses) / Income</t>
  </si>
  <si>
    <t>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</si>
</sst>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mm"/>
    <numFmt numFmtId="166" formatCode="_(* #,##0_);_(* \(#,##0\);_(* &quot;-&quot;??_);_(@_)"/>
    <numFmt numFmtId="167" formatCode="mmmm"/>
    <numFmt numFmtId="168" formatCode="0.0%"/>
  </numFmts>
  <fonts count="29" x14ac:knownFonts="1">
    <font>
      <sz val="11"/>
      <color theme="1"/>
      <name val="Calibri"/>
      <family val="2"/>
      <scheme val="minor"/>
    </font>
    <font>
      <sz val="11"/>
      <color theme="0"/>
      <name val="Calibri"/>
      <family val="2"/>
      <scheme val="minor"/>
    </font>
    <font>
      <b/>
      <sz val="20"/>
      <color theme="0"/>
      <name val="Calibri"/>
      <family val="2"/>
      <scheme val="minor"/>
    </font>
    <font>
      <b/>
      <sz val="20"/>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9"/>
      <color theme="0" tint="-0.499984740745262"/>
      <name val="Calibri"/>
      <family val="2"/>
      <scheme val="minor"/>
    </font>
    <font>
      <i/>
      <sz val="9"/>
      <color theme="0" tint="-0.34998626667073579"/>
      <name val="Calibri"/>
      <family val="2"/>
      <scheme val="minor"/>
    </font>
    <font>
      <sz val="11"/>
      <color theme="1"/>
      <name val="Calibri"/>
      <family val="2"/>
      <scheme val="minor"/>
    </font>
    <font>
      <b/>
      <sz val="10"/>
      <color theme="0"/>
      <name val="Calibri"/>
      <family val="2"/>
      <scheme val="minor"/>
    </font>
    <font>
      <sz val="10"/>
      <color theme="0" tint="-0.34998626667073579"/>
      <name val="Calibri"/>
      <family val="2"/>
      <scheme val="minor"/>
    </font>
    <font>
      <sz val="9"/>
      <color theme="0" tint="-0.34998626667073579"/>
      <name val="Calibri"/>
      <family val="2"/>
      <scheme val="minor"/>
    </font>
    <font>
      <b/>
      <sz val="9"/>
      <color theme="1"/>
      <name val="Calibri"/>
      <family val="2"/>
      <scheme val="minor"/>
    </font>
    <font>
      <b/>
      <sz val="9"/>
      <color theme="0" tint="-0.34998626667073579"/>
      <name val="Calibri"/>
      <family val="2"/>
      <scheme val="minor"/>
    </font>
    <font>
      <i/>
      <sz val="10"/>
      <color theme="1"/>
      <name val="Calibri"/>
      <family val="2"/>
      <scheme val="minor"/>
    </font>
    <font>
      <sz val="9"/>
      <color theme="1"/>
      <name val="Calibri"/>
      <family val="2"/>
      <scheme val="minor"/>
    </font>
    <font>
      <b/>
      <sz val="10"/>
      <color theme="1"/>
      <name val="Calibri"/>
      <family val="2"/>
      <scheme val="minor"/>
    </font>
    <font>
      <sz val="10"/>
      <color theme="0" tint="-0.499984740745262"/>
      <name val="Calibri"/>
      <family val="2"/>
      <scheme val="minor"/>
    </font>
    <font>
      <sz val="11"/>
      <color theme="0" tint="-0.499984740745262"/>
      <name val="Calibri"/>
      <family val="2"/>
      <scheme val="minor"/>
    </font>
    <font>
      <b/>
      <sz val="12"/>
      <color theme="7"/>
      <name val="Calibri"/>
      <family val="2"/>
      <scheme val="minor"/>
    </font>
    <font>
      <sz val="10"/>
      <color theme="0" tint="-0.14999847407452621"/>
      <name val="Calibri"/>
      <family val="2"/>
      <scheme val="minor"/>
    </font>
    <font>
      <b/>
      <sz val="9"/>
      <color theme="0"/>
      <name val="Calibri"/>
      <family val="2"/>
      <scheme val="minor"/>
    </font>
    <font>
      <sz val="8"/>
      <color theme="1"/>
      <name val="Calibri"/>
      <family val="2"/>
      <scheme val="minor"/>
    </font>
    <font>
      <sz val="10.5"/>
      <color theme="1"/>
      <name val="Calibri"/>
      <family val="2"/>
      <scheme val="minor"/>
    </font>
    <font>
      <sz val="11"/>
      <color theme="8"/>
      <name val="Calibri"/>
      <family val="2"/>
      <scheme val="minor"/>
    </font>
    <font>
      <b/>
      <sz val="11"/>
      <color theme="8"/>
      <name val="Calibri"/>
      <family val="2"/>
      <scheme val="minor"/>
    </font>
    <font>
      <sz val="8"/>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1" tint="0.89999084444715716"/>
        <bgColor indexed="64"/>
      </patternFill>
    </fill>
    <fill>
      <patternFill patternType="solid">
        <fgColor theme="2" tint="-0.249977111117893"/>
        <bgColor indexed="64"/>
      </patternFill>
    </fill>
    <fill>
      <patternFill patternType="solid">
        <fgColor theme="5"/>
        <bgColor indexed="64"/>
      </patternFill>
    </fill>
    <fill>
      <patternFill patternType="solid">
        <fgColor theme="8"/>
        <bgColor indexed="64"/>
      </patternFill>
    </fill>
    <fill>
      <patternFill patternType="solid">
        <fgColor theme="2" tint="0.79998168889431442"/>
        <bgColor indexed="64"/>
      </patternFill>
    </fill>
    <fill>
      <patternFill patternType="solid">
        <fgColor theme="0" tint="-0.249977111117893"/>
        <bgColor indexed="64"/>
      </patternFill>
    </fill>
  </fills>
  <borders count="20">
    <border>
      <left/>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right/>
      <top/>
      <bottom style="dotted">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top/>
      <bottom style="thin">
        <color indexed="64"/>
      </bottom>
      <diagonal/>
    </border>
    <border>
      <left/>
      <right/>
      <top style="dotted">
        <color auto="1"/>
      </top>
      <bottom style="double">
        <color auto="1"/>
      </bottom>
      <diagonal/>
    </border>
    <border>
      <left/>
      <right/>
      <top style="hair">
        <color auto="1"/>
      </top>
      <bottom/>
      <diagonal/>
    </border>
    <border>
      <left/>
      <right/>
      <top style="thin">
        <color indexed="64"/>
      </top>
      <bottom/>
      <diagonal/>
    </border>
  </borders>
  <cellStyleXfs count="3">
    <xf numFmtId="0" fontId="0" fillId="0" borderId="0"/>
    <xf numFmtId="164" fontId="10" fillId="0" borderId="0" applyFont="0" applyFill="0" applyBorder="0" applyAlignment="0" applyProtection="0"/>
    <xf numFmtId="9" fontId="10" fillId="0" borderId="0" applyFont="0" applyFill="0" applyBorder="0" applyAlignment="0" applyProtection="0"/>
  </cellStyleXfs>
  <cellXfs count="100">
    <xf numFmtId="0" fontId="0" fillId="0" borderId="0" xfId="0"/>
    <xf numFmtId="0" fontId="1" fillId="2" borderId="0" xfId="0" applyFont="1" applyFill="1"/>
    <xf numFmtId="0" fontId="2" fillId="2" borderId="0" xfId="0" applyFont="1" applyFill="1" applyAlignment="1">
      <alignment horizontal="left" indent="2"/>
    </xf>
    <xf numFmtId="0" fontId="0" fillId="3" borderId="0" xfId="0" applyFill="1"/>
    <xf numFmtId="0" fontId="3" fillId="3" borderId="0" xfId="0" applyFont="1" applyFill="1" applyAlignment="1">
      <alignment horizontal="left" indent="2"/>
    </xf>
    <xf numFmtId="0" fontId="6"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xf numFmtId="0" fontId="7" fillId="4" borderId="0" xfId="0" applyFont="1" applyFill="1" applyAlignment="1">
      <alignment horizontal="center" vertical="center"/>
    </xf>
    <xf numFmtId="0" fontId="8" fillId="0" borderId="0" xfId="0" applyFont="1"/>
    <xf numFmtId="0" fontId="9" fillId="0" borderId="0" xfId="0" applyFont="1" applyAlignment="1">
      <alignment horizontal="right" vertical="center"/>
    </xf>
    <xf numFmtId="0" fontId="5" fillId="0" borderId="0" xfId="0" applyFont="1" applyAlignment="1">
      <alignment horizontal="left" indent="1"/>
    </xf>
    <xf numFmtId="0" fontId="5" fillId="0" borderId="6" xfId="0" applyFont="1" applyBorder="1" applyAlignment="1">
      <alignment horizontal="left" indent="1"/>
    </xf>
    <xf numFmtId="0" fontId="11" fillId="5" borderId="0" xfId="0" applyFont="1" applyFill="1" applyAlignment="1">
      <alignment horizontal="center" vertical="center"/>
    </xf>
    <xf numFmtId="165" fontId="11" fillId="5" borderId="0" xfId="0" applyNumberFormat="1" applyFont="1" applyFill="1" applyAlignment="1">
      <alignment horizontal="center" vertical="center"/>
    </xf>
    <xf numFmtId="0" fontId="12" fillId="0" borderId="0" xfId="0" applyFont="1" applyAlignment="1">
      <alignment horizontal="left" indent="1"/>
    </xf>
    <xf numFmtId="166" fontId="13" fillId="0" borderId="6" xfId="1" applyNumberFormat="1" applyFont="1" applyBorder="1"/>
    <xf numFmtId="166" fontId="14" fillId="0" borderId="6" xfId="1" applyNumberFormat="1" applyFont="1" applyBorder="1"/>
    <xf numFmtId="166" fontId="15" fillId="0" borderId="6" xfId="1" applyNumberFormat="1" applyFont="1" applyBorder="1"/>
    <xf numFmtId="165" fontId="11" fillId="6" borderId="0" xfId="0" applyNumberFormat="1" applyFont="1" applyFill="1" applyAlignment="1">
      <alignment horizontal="center" vertical="center"/>
    </xf>
    <xf numFmtId="0" fontId="11" fillId="6" borderId="0" xfId="0" applyFont="1" applyFill="1" applyAlignment="1">
      <alignment horizontal="center" vertical="center"/>
    </xf>
    <xf numFmtId="165" fontId="11" fillId="7" borderId="0" xfId="0" applyNumberFormat="1" applyFont="1" applyFill="1" applyAlignment="1">
      <alignment horizontal="center" vertical="center"/>
    </xf>
    <xf numFmtId="0" fontId="11" fillId="7" borderId="0" xfId="0" applyFont="1" applyFill="1" applyAlignment="1">
      <alignment horizontal="center" vertical="center"/>
    </xf>
    <xf numFmtId="0" fontId="16" fillId="0" borderId="0" xfId="0" applyFont="1" applyAlignment="1">
      <alignment horizontal="right"/>
    </xf>
    <xf numFmtId="166" fontId="17" fillId="0" borderId="6" xfId="0" applyNumberFormat="1" applyFont="1" applyBorder="1"/>
    <xf numFmtId="166" fontId="14" fillId="0" borderId="6" xfId="0" applyNumberFormat="1" applyFont="1" applyBorder="1"/>
    <xf numFmtId="0" fontId="18" fillId="0" borderId="6" xfId="0" applyFont="1" applyBorder="1" applyAlignment="1">
      <alignment horizontal="center" vertical="center"/>
    </xf>
    <xf numFmtId="0" fontId="0" fillId="0" borderId="0" xfId="0" applyAlignment="1">
      <alignment horizontal="left" vertical="center" indent="1"/>
    </xf>
    <xf numFmtId="0" fontId="7" fillId="0" borderId="0" xfId="0" applyFont="1" applyAlignment="1">
      <alignment horizontal="left" indent="1"/>
    </xf>
    <xf numFmtId="15" fontId="7" fillId="0" borderId="0" xfId="0" applyNumberFormat="1" applyFont="1" applyAlignment="1">
      <alignment horizontal="left" indent="1"/>
    </xf>
    <xf numFmtId="166" fontId="7" fillId="0" borderId="0" xfId="1" applyNumberFormat="1" applyFont="1" applyAlignment="1">
      <alignment horizontal="left" indent="1"/>
    </xf>
    <xf numFmtId="0" fontId="19" fillId="0" borderId="0" xfId="0" applyFont="1" applyAlignment="1">
      <alignment horizontal="left" indent="1"/>
    </xf>
    <xf numFmtId="0" fontId="20" fillId="3" borderId="0" xfId="0" applyFont="1" applyFill="1" applyAlignment="1">
      <alignment horizontal="left" vertical="center" indent="1"/>
    </xf>
    <xf numFmtId="166" fontId="19" fillId="0" borderId="0" xfId="1" applyNumberFormat="1" applyFont="1" applyAlignment="1">
      <alignment horizontal="left" indent="1"/>
    </xf>
    <xf numFmtId="0" fontId="21" fillId="0" borderId="0" xfId="0" applyFont="1"/>
    <xf numFmtId="15" fontId="22" fillId="0" borderId="0" xfId="0" applyNumberFormat="1" applyFont="1" applyAlignment="1">
      <alignment horizontal="right" indent="1"/>
    </xf>
    <xf numFmtId="15" fontId="0" fillId="0" borderId="0" xfId="0" applyNumberFormat="1"/>
    <xf numFmtId="166" fontId="0" fillId="0" borderId="0" xfId="1" applyNumberFormat="1" applyFont="1"/>
    <xf numFmtId="0" fontId="0" fillId="2" borderId="0" xfId="0" applyFill="1"/>
    <xf numFmtId="0" fontId="4" fillId="2" borderId="0" xfId="0" applyFont="1" applyFill="1" applyAlignment="1">
      <alignment horizontal="center" vertical="center"/>
    </xf>
    <xf numFmtId="0" fontId="7" fillId="0" borderId="11" xfId="0" applyFont="1" applyBorder="1" applyAlignment="1">
      <alignment horizontal="center" vertical="center"/>
    </xf>
    <xf numFmtId="0" fontId="7" fillId="0" borderId="10" xfId="0" applyFont="1" applyBorder="1" applyAlignment="1">
      <alignment horizontal="center" vertical="center"/>
    </xf>
    <xf numFmtId="167" fontId="7" fillId="0" borderId="11" xfId="0" applyNumberFormat="1" applyFont="1" applyBorder="1" applyAlignment="1">
      <alignment horizontal="center" vertical="center"/>
    </xf>
    <xf numFmtId="167" fontId="7" fillId="0" borderId="10" xfId="0" applyNumberFormat="1" applyFont="1" applyBorder="1" applyAlignment="1">
      <alignment horizontal="center" vertical="center"/>
    </xf>
    <xf numFmtId="0" fontId="5" fillId="0" borderId="12" xfId="0" applyFont="1" applyBorder="1"/>
    <xf numFmtId="0" fontId="0" fillId="0" borderId="0" xfId="0" applyAlignment="1">
      <alignment horizontal="right"/>
    </xf>
    <xf numFmtId="0" fontId="24" fillId="3" borderId="1" xfId="0" applyFont="1" applyFill="1" applyBorder="1" applyAlignment="1">
      <alignment horizontal="center" vertical="center"/>
    </xf>
    <xf numFmtId="0" fontId="24" fillId="3" borderId="2" xfId="0" applyFont="1" applyFill="1" applyBorder="1" applyAlignment="1">
      <alignment horizontal="center" vertical="center"/>
    </xf>
    <xf numFmtId="0" fontId="24" fillId="3" borderId="0" xfId="0" applyFont="1" applyFill="1" applyAlignment="1">
      <alignment horizontal="center" vertical="center"/>
    </xf>
    <xf numFmtId="166" fontId="0" fillId="0" borderId="0" xfId="0" applyNumberFormat="1"/>
    <xf numFmtId="166" fontId="0" fillId="0" borderId="0" xfId="1" applyNumberFormat="1" applyFont="1" applyBorder="1"/>
    <xf numFmtId="166" fontId="0" fillId="0" borderId="2" xfId="1" applyNumberFormat="1" applyFont="1" applyBorder="1"/>
    <xf numFmtId="0" fontId="24" fillId="3" borderId="11" xfId="0" applyFont="1" applyFill="1" applyBorder="1" applyAlignment="1">
      <alignment horizontal="center" vertical="center"/>
    </xf>
    <xf numFmtId="0" fontId="0" fillId="0" borderId="11" xfId="0" applyBorder="1"/>
    <xf numFmtId="0" fontId="25" fillId="0" borderId="0" xfId="0" applyFont="1" applyAlignment="1">
      <alignment vertical="center"/>
    </xf>
    <xf numFmtId="9" fontId="25" fillId="0" borderId="0" xfId="2" applyFont="1" applyAlignment="1">
      <alignment horizontal="center" vertical="center"/>
    </xf>
    <xf numFmtId="166" fontId="25" fillId="0" borderId="0" xfId="1" applyNumberFormat="1" applyFont="1" applyAlignment="1">
      <alignment horizontal="center" vertical="center"/>
    </xf>
    <xf numFmtId="0" fontId="0" fillId="0" borderId="13" xfId="0" applyBorder="1"/>
    <xf numFmtId="0" fontId="0" fillId="0" borderId="9" xfId="0" applyBorder="1"/>
    <xf numFmtId="0" fontId="0" fillId="0" borderId="14" xfId="0" applyBorder="1"/>
    <xf numFmtId="0" fontId="0" fillId="0" borderId="15" xfId="0" applyBorder="1"/>
    <xf numFmtId="0" fontId="26" fillId="0" borderId="15" xfId="0" applyFont="1" applyBorder="1"/>
    <xf numFmtId="0" fontId="5" fillId="0" borderId="16" xfId="0" applyFont="1" applyBorder="1" applyAlignment="1">
      <alignment horizontal="center"/>
    </xf>
    <xf numFmtId="0" fontId="0" fillId="0" borderId="0" xfId="0" applyAlignment="1">
      <alignment horizontal="center"/>
    </xf>
    <xf numFmtId="0" fontId="0" fillId="0" borderId="17" xfId="0" applyBorder="1" applyAlignment="1">
      <alignment horizontal="center"/>
    </xf>
    <xf numFmtId="0" fontId="5" fillId="0" borderId="0" xfId="0" applyFont="1" applyAlignment="1">
      <alignment horizontal="center"/>
    </xf>
    <xf numFmtId="166" fontId="0" fillId="0" borderId="0" xfId="1" applyNumberFormat="1" applyFont="1" applyAlignment="1">
      <alignment horizontal="center"/>
    </xf>
    <xf numFmtId="166" fontId="0" fillId="0" borderId="17" xfId="1" applyNumberFormat="1" applyFont="1" applyBorder="1" applyAlignment="1">
      <alignment horizontal="center"/>
    </xf>
    <xf numFmtId="166" fontId="5" fillId="0" borderId="0" xfId="1" applyNumberFormat="1" applyFont="1" applyAlignment="1">
      <alignment horizontal="center"/>
    </xf>
    <xf numFmtId="0" fontId="17" fillId="0" borderId="0" xfId="0" applyFont="1" applyAlignment="1">
      <alignment horizontal="left" vertical="center" indent="1"/>
    </xf>
    <xf numFmtId="166" fontId="17" fillId="0" borderId="0" xfId="1" applyNumberFormat="1" applyFont="1" applyBorder="1" applyAlignment="1">
      <alignment vertical="center"/>
    </xf>
    <xf numFmtId="0" fontId="14" fillId="0" borderId="18" xfId="0" applyFont="1" applyBorder="1" applyAlignment="1">
      <alignment horizontal="left" vertical="center" indent="1"/>
    </xf>
    <xf numFmtId="166" fontId="14" fillId="0" borderId="18" xfId="1" applyNumberFormat="1" applyFont="1" applyBorder="1" applyAlignment="1">
      <alignment vertical="center"/>
    </xf>
    <xf numFmtId="0" fontId="0" fillId="0" borderId="19" xfId="0" applyBorder="1" applyAlignment="1">
      <alignment horizontal="center"/>
    </xf>
    <xf numFmtId="0" fontId="0" fillId="0" borderId="16" xfId="0" applyBorder="1" applyAlignment="1">
      <alignment horizontal="center"/>
    </xf>
    <xf numFmtId="166" fontId="0" fillId="0" borderId="0" xfId="1" applyNumberFormat="1" applyFont="1" applyBorder="1" applyAlignment="1">
      <alignment horizontal="center"/>
    </xf>
    <xf numFmtId="0" fontId="18" fillId="0" borderId="0" xfId="0" applyFont="1"/>
    <xf numFmtId="0" fontId="7" fillId="0" borderId="0" xfId="0" applyFont="1"/>
    <xf numFmtId="166" fontId="0" fillId="0" borderId="16" xfId="1" applyNumberFormat="1" applyFont="1" applyBorder="1" applyAlignment="1">
      <alignment horizontal="center"/>
    </xf>
    <xf numFmtId="0" fontId="0" fillId="0" borderId="12" xfId="0" applyBorder="1" applyAlignment="1">
      <alignment horizontal="right"/>
    </xf>
    <xf numFmtId="9" fontId="0" fillId="0" borderId="0" xfId="2" applyFont="1"/>
    <xf numFmtId="168" fontId="0" fillId="0" borderId="0" xfId="2" applyNumberFormat="1" applyFont="1"/>
    <xf numFmtId="0" fontId="4" fillId="2" borderId="0" xfId="0" applyFont="1" applyFill="1" applyAlignment="1">
      <alignment horizontal="center" vertical="center"/>
    </xf>
    <xf numFmtId="0" fontId="8" fillId="0" borderId="0" xfId="0" applyFont="1" applyAlignment="1">
      <alignment horizontal="left" vertical="top" wrapText="1"/>
    </xf>
    <xf numFmtId="0" fontId="8" fillId="0" borderId="0" xfId="0" applyFont="1" applyAlignment="1">
      <alignment horizontal="left" vertical="top"/>
    </xf>
    <xf numFmtId="0" fontId="11" fillId="2" borderId="0" xfId="0" applyFont="1" applyFill="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7" fillId="8" borderId="9" xfId="0" applyFont="1" applyFill="1" applyBorder="1" applyAlignment="1">
      <alignment horizontal="center" vertical="center"/>
    </xf>
    <xf numFmtId="0" fontId="9" fillId="0" borderId="0" xfId="0" applyFont="1" applyAlignment="1">
      <alignment horizontal="right" vertical="center" indent="1"/>
    </xf>
    <xf numFmtId="167" fontId="7" fillId="8" borderId="9" xfId="0" applyNumberFormat="1" applyFont="1" applyFill="1" applyBorder="1" applyAlignment="1">
      <alignment horizontal="center" vertical="center"/>
    </xf>
    <xf numFmtId="0" fontId="23" fillId="2" borderId="0" xfId="0" applyFont="1" applyFill="1" applyAlignment="1">
      <alignment horizontal="left" vertical="center" indent="1"/>
    </xf>
    <xf numFmtId="0" fontId="18" fillId="9" borderId="0" xfId="0" applyFont="1" applyFill="1" applyAlignment="1">
      <alignment horizontal="center" vertical="center"/>
    </xf>
    <xf numFmtId="165" fontId="0" fillId="0" borderId="0" xfId="0" applyNumberFormat="1" applyAlignment="1">
      <alignment horizontal="center" vertical="center"/>
    </xf>
    <xf numFmtId="165" fontId="0" fillId="0" borderId="16" xfId="0" applyNumberFormat="1" applyBorder="1" applyAlignment="1">
      <alignment horizontal="center" vertical="center"/>
    </xf>
    <xf numFmtId="165" fontId="0" fillId="0" borderId="19" xfId="0" applyNumberFormat="1" applyBorder="1" applyAlignment="1">
      <alignment horizontal="center" vertical="center"/>
    </xf>
  </cellXfs>
  <cellStyles count="3">
    <cellStyle name="Comma" xfId="1" builtinId="3"/>
    <cellStyle name="Normal" xfId="0" builtinId="0"/>
    <cellStyle name="Percent" xfId="2" builtinId="5"/>
  </cellStyles>
  <dxfs count="62">
    <dxf>
      <fill>
        <patternFill>
          <bgColor theme="0" tint="-4.9989318521683403E-2"/>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patternFill>
      </fill>
    </dxf>
    <dxf>
      <fill>
        <patternFill>
          <bgColor theme="8" tint="-0.24994659260841701"/>
        </patternFill>
      </fill>
    </dxf>
    <dxf>
      <fill>
        <patternFill>
          <bgColor theme="0" tint="-4.9989318521683403E-2"/>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patternFill>
      </fill>
    </dxf>
    <dxf>
      <fill>
        <patternFill>
          <bgColor theme="5" tint="-0.24994659260841701"/>
        </patternFill>
      </fill>
    </dxf>
    <dxf>
      <fill>
        <patternFill>
          <bgColor theme="0" tint="-4.9989318521683403E-2"/>
        </patternFill>
      </fill>
    </dxf>
    <dxf>
      <fill>
        <patternFill>
          <bgColor theme="2" tint="0.79998168889431442"/>
        </patternFill>
      </fill>
    </dxf>
    <dxf>
      <fill>
        <patternFill>
          <bgColor theme="2" tint="0.59996337778862885"/>
        </patternFill>
      </fill>
    </dxf>
    <dxf>
      <fill>
        <patternFill>
          <bgColor theme="2" tint="0.39994506668294322"/>
        </patternFill>
      </fill>
    </dxf>
    <dxf>
      <fill>
        <patternFill>
          <bgColor theme="2"/>
        </patternFill>
      </fill>
    </dxf>
    <dxf>
      <fill>
        <patternFill>
          <bgColor theme="2" tint="-0.24994659260841701"/>
        </patternFill>
      </fill>
    </dxf>
    <dxf>
      <fill>
        <patternFill>
          <bgColor theme="2" tint="0.39994506668294322"/>
        </patternFill>
      </fill>
    </dxf>
    <dxf>
      <fill>
        <patternFill>
          <bgColor theme="5" tint="0.39994506668294322"/>
        </patternFill>
      </fill>
    </dxf>
    <dxf>
      <fill>
        <patternFill>
          <bgColor theme="8" tint="0.39994506668294322"/>
        </patternFill>
      </fill>
    </dxf>
    <dxf>
      <font>
        <b/>
        <i val="0"/>
        <color theme="0"/>
      </font>
      <fill>
        <patternFill>
          <bgColor theme="2" tint="-0.24994659260841701"/>
        </patternFill>
      </fill>
    </dxf>
    <dxf>
      <font>
        <b/>
        <i val="0"/>
        <color theme="0"/>
      </font>
      <fill>
        <patternFill>
          <bgColor theme="5"/>
        </patternFill>
      </fill>
    </dxf>
    <dxf>
      <font>
        <b/>
        <i val="0"/>
        <color theme="0"/>
      </font>
      <fill>
        <patternFill>
          <bgColor theme="8"/>
        </patternFill>
      </fill>
    </dxf>
    <dxf>
      <font>
        <b/>
        <i val="0"/>
      </font>
      <border>
        <top style="thin">
          <color auto="1"/>
        </top>
        <vertical/>
        <horizontal/>
      </border>
    </dxf>
    <dxf>
      <font>
        <color theme="0" tint="-0.499984740745262"/>
      </font>
      <numFmt numFmtId="169" formatCode="\➜\ d\-mmm\-yy"/>
    </dxf>
    <dxf>
      <font>
        <b/>
        <i val="0"/>
        <color theme="2" tint="-0.24994659260841701"/>
      </font>
      <numFmt numFmtId="170" formatCode="#,##0_);\(#,##0\)"/>
    </dxf>
    <dxf>
      <font>
        <color rgb="FFFF0000"/>
      </font>
    </dxf>
    <dxf>
      <font>
        <color rgb="FFFF0000"/>
      </font>
    </dxf>
    <dxf>
      <font>
        <color theme="2" tint="-0.24994659260841701"/>
      </font>
    </dxf>
    <dxf>
      <font>
        <color theme="0" tint="-0.24994659260841701"/>
      </font>
    </dxf>
    <dxf>
      <font>
        <color rgb="FF000000"/>
      </font>
      <fill>
        <patternFill>
          <bgColor theme="8" tint="0.79998168889431442"/>
        </patternFill>
      </fill>
    </dxf>
    <dxf>
      <font>
        <color rgb="FF000000"/>
      </font>
      <fill>
        <patternFill>
          <bgColor theme="5" tint="0.79998168889431442"/>
        </patternFill>
      </fill>
    </dxf>
    <dxf>
      <font>
        <color rgb="FF000000"/>
      </font>
      <fill>
        <patternFill>
          <bgColor theme="2" tint="0.79998168889431442"/>
        </patternFill>
      </fill>
    </dxf>
    <dxf>
      <font>
        <color theme="0" tint="-0.24994659260841701"/>
      </font>
      <fill>
        <patternFill>
          <bgColor theme="0" tint="-4.9989318521683403E-2"/>
        </patternFill>
      </fill>
    </dxf>
    <dxf>
      <font>
        <strike val="0"/>
        <outline val="0"/>
        <shadow val="0"/>
        <u val="none"/>
        <vertAlign val="baseline"/>
        <sz val="10"/>
        <color theme="0" tint="-0.14999847407452621"/>
        <name val="Calibri"/>
        <family val="2"/>
        <scheme val="minor"/>
      </font>
      <numFmt numFmtId="171" formatCode="d\-mmm\-yy"/>
      <alignment horizontal="right" vertical="bottom" textRotation="0" wrapText="0" indent="1" justifyLastLine="0" shrinkToFit="0" readingOrder="0"/>
    </dxf>
    <dxf>
      <font>
        <strike val="0"/>
        <outline val="0"/>
        <shadow val="0"/>
        <u val="none"/>
        <vertAlign val="baseline"/>
        <sz val="10"/>
        <color theme="0" tint="-0.499984740745262"/>
        <name val="Calibri"/>
        <family val="2"/>
        <scheme val="minor"/>
      </font>
      <numFmt numFmtId="166" formatCode="_(* #,##0_);_(* \(#,##0\);_(* &quot;-&quot;??_);_(@_)"/>
      <alignment horizontal="left" vertical="bottom" textRotation="0" wrapText="0" relativeIndent="1" justifyLastLine="0" shrinkToFit="0" readingOrder="0"/>
    </dxf>
    <dxf>
      <font>
        <strike val="0"/>
        <outline val="0"/>
        <shadow val="0"/>
        <u val="none"/>
        <vertAlign val="baseline"/>
        <sz val="10"/>
        <color theme="0" tint="-0.499984740745262"/>
        <name val="Calibri"/>
        <family val="2"/>
        <scheme val="minor"/>
      </font>
      <alignment horizontal="left" vertical="bottom" textRotation="0" wrapText="0" relativeIndent="1" justifyLastLine="0" shrinkToFit="0" readingOrder="0"/>
    </dxf>
    <dxf>
      <font>
        <strike val="0"/>
        <outline val="0"/>
        <shadow val="0"/>
        <u val="none"/>
        <vertAlign val="baseline"/>
        <sz val="10"/>
        <color theme="1"/>
        <name val="Calibri"/>
        <family val="2"/>
        <scheme val="minor"/>
      </font>
      <numFmt numFmtId="166" formatCode="_(* #,##0_);_(* \(#,##0\);_(* &quot;-&quot;??_);_(@_)"/>
      <alignment horizontal="left" vertical="bottom" textRotation="0" wrapText="0" relativeIndent="1" justifyLastLine="0" shrinkToFit="0" readingOrder="0"/>
    </dxf>
    <dxf>
      <font>
        <strike val="0"/>
        <outline val="0"/>
        <shadow val="0"/>
        <u val="none"/>
        <vertAlign val="baseline"/>
        <sz val="10"/>
        <color theme="1"/>
        <name val="Calibri"/>
        <family val="2"/>
        <scheme val="minor"/>
      </font>
      <alignment horizontal="left" vertical="bottom" textRotation="0" wrapText="0" relativeIndent="1" justifyLastLine="0" shrinkToFit="0" readingOrder="0"/>
    </dxf>
    <dxf>
      <font>
        <strike val="0"/>
        <outline val="0"/>
        <shadow val="0"/>
        <u val="none"/>
        <vertAlign val="baseline"/>
        <sz val="10"/>
        <color theme="1"/>
        <name val="Calibri"/>
        <family val="2"/>
        <scheme val="minor"/>
      </font>
      <alignment horizontal="left" vertical="bottom" textRotation="0" wrapText="0" relativeIndent="1" justifyLastLine="0" shrinkToFit="0" readingOrder="0"/>
    </dxf>
    <dxf>
      <font>
        <strike val="0"/>
        <outline val="0"/>
        <shadow val="0"/>
        <u val="none"/>
        <vertAlign val="baseline"/>
        <sz val="10"/>
        <color theme="1"/>
        <name val="Calibri"/>
        <family val="2"/>
        <scheme val="minor"/>
      </font>
      <numFmt numFmtId="171" formatCode="d\-mmm\-yy"/>
      <alignment horizontal="left" vertical="bottom" textRotation="0" wrapText="0" relativeIndent="1" justifyLastLine="0" shrinkToFit="0" readingOrder="0"/>
    </dxf>
    <dxf>
      <font>
        <strike val="0"/>
        <outline val="0"/>
        <shadow val="0"/>
        <u val="none"/>
        <vertAlign val="baseline"/>
        <sz val="10"/>
        <color theme="1"/>
        <name val="Calibri"/>
        <family val="2"/>
        <scheme val="minor"/>
      </font>
      <alignment horizontal="left" vertical="bottom" textRotation="0" wrapText="0" relativeIndent="1" justifyLastLine="0" shrinkToFit="0" readingOrder="0"/>
    </dxf>
    <dxf>
      <alignment horizontal="left" vertical="center" textRotation="0" wrapText="0" relative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ill>
        <patternFill>
          <bgColor theme="0" tint="-4.9989318521683403E-2"/>
        </patternFill>
      </fill>
    </dxf>
    <dxf>
      <font>
        <b/>
        <i val="0"/>
        <color theme="0"/>
      </font>
      <fill>
        <patternFill>
          <bgColor theme="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b/>
        <i val="0"/>
        <color theme="0"/>
      </font>
      <fill>
        <patternFill>
          <bgColor theme="8"/>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theme="2" tint="-0.24994659260841701"/>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theme="5"/>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s Table Style" pivot="0" count="2" xr9:uid="{9002A8A2-A663-4FC8-A498-439DC8E39643}">
      <tableStyleElement type="wholeTable" dxfId="61"/>
      <tableStyleElement type="headerRow" dxfId="60"/>
    </tableStyle>
    <tableStyle name="Income Table Style" pivot="0" count="2" xr9:uid="{1B3668A9-FD98-4088-BE71-37F23AEC40A6}">
      <tableStyleElement type="wholeTable" dxfId="59"/>
      <tableStyleElement type="headerRow" dxfId="58"/>
    </tableStyle>
    <tableStyle name="Savings Table Style" pivot="0" count="2" xr9:uid="{B19C97DC-EF0C-411D-BC5E-8F8E6F8FFB6D}">
      <tableStyleElement type="wholeTable" dxfId="57"/>
      <tableStyleElement type="headerRow" dxfId="56"/>
    </tableStyle>
    <tableStyle name="Tracking Table Style" pivot="0" count="3" xr9:uid="{285C8816-CF21-406C-9B70-6DD7B87B8FF9}">
      <tableStyleElement type="wholeTable" dxfId="55"/>
      <tableStyleElement type="headerRow" dxfId="54"/>
      <tableStyleElement type="firstRowStripe" dxfId="53"/>
    </tableStyle>
  </tableStyles>
  <colors>
    <mruColors>
      <color rgb="FF000000"/>
      <color rgb="FFD3D3D3"/>
      <color rgb="FFE0E0E0"/>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calcChain" Target="calcChain.xml" /><Relationship Id="rId5" Type="http://schemas.openxmlformats.org/officeDocument/2006/relationships/worksheet" Target="worksheets/sheet5.xml" /><Relationship Id="rId10"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8C06-4B23-903B-2B1F440B052A}"/>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8C06-4B23-903B-2B1F440B052A}"/>
              </c:ext>
            </c:extLst>
          </c:dPt>
          <c:dPt>
            <c:idx val="2"/>
            <c:bubble3D val="0"/>
            <c:spPr>
              <a:solidFill>
                <a:schemeClr val="bg2">
                  <a:lumMod val="60000"/>
                  <a:lumOff val="40000"/>
                </a:schemeClr>
              </a:solidFill>
              <a:ln w="19050">
                <a:solidFill>
                  <a:schemeClr val="lt1"/>
                </a:solidFill>
              </a:ln>
              <a:effectLst/>
            </c:spPr>
            <c:extLst>
              <c:ext xmlns:c16="http://schemas.microsoft.com/office/drawing/2014/chart" uri="{C3380CC4-5D6E-409C-BE32-E72D297353CC}">
                <c16:uniqueId val="{00000005-8C06-4B23-903B-2B1F440B052A}"/>
              </c:ext>
            </c:extLst>
          </c:dPt>
          <c:dPt>
            <c:idx val="3"/>
            <c:bubble3D val="0"/>
            <c:spPr>
              <a:solidFill>
                <a:schemeClr val="bg2">
                  <a:lumMod val="40000"/>
                  <a:lumOff val="60000"/>
                </a:schemeClr>
              </a:solidFill>
              <a:ln w="19050">
                <a:solidFill>
                  <a:schemeClr val="lt1"/>
                </a:solidFill>
              </a:ln>
              <a:effectLst/>
            </c:spPr>
            <c:extLst>
              <c:ext xmlns:c16="http://schemas.microsoft.com/office/drawing/2014/chart" uri="{C3380CC4-5D6E-409C-BE32-E72D297353CC}">
                <c16:uniqueId val="{00000007-8C06-4B23-903B-2B1F440B052A}"/>
              </c:ext>
            </c:extLst>
          </c:dPt>
          <c:dPt>
            <c:idx val="4"/>
            <c:bubble3D val="0"/>
            <c:spPr>
              <a:solidFill>
                <a:schemeClr val="bg2">
                  <a:lumMod val="20000"/>
                  <a:lumOff val="80000"/>
                </a:schemeClr>
              </a:solidFill>
              <a:ln w="19050">
                <a:solidFill>
                  <a:schemeClr val="lt1"/>
                </a:solidFill>
              </a:ln>
              <a:effectLst/>
            </c:spPr>
            <c:extLst>
              <c:ext xmlns:c16="http://schemas.microsoft.com/office/drawing/2014/chart" uri="{C3380CC4-5D6E-409C-BE32-E72D297353CC}">
                <c16:uniqueId val="{00000009-8C06-4B23-903B-2B1F440B052A}"/>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8C06-4B23-903B-2B1F440B052A}"/>
              </c:ext>
            </c:extLst>
          </c:dPt>
          <c:cat>
            <c:strRef>
              <c:f>Calculations!$E$35:$E$40</c:f>
              <c:strCache>
                <c:ptCount val="6"/>
              </c:strCache>
            </c:strRef>
          </c:cat>
          <c:val>
            <c:numRef>
              <c:f>Calculations!$F$35:$F$40</c:f>
              <c:numCache>
                <c:formatCode>_(* #,##0_);_(* \(#,##0\);_(* "-"??_);_(@_)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8C06-4B23-903B-2B1F440B052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215-4409-A2DF-C1949F2CD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15-4409-A2DF-C1949F2CD13B}"/>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4215-4409-A2DF-C1949F2CD13B}"/>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4215-4409-A2DF-C1949F2CD13B}"/>
              </c:ext>
            </c:extLst>
          </c:dPt>
          <c:dPt>
            <c:idx val="4"/>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9-4215-4409-A2DF-C1949F2CD13B}"/>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4215-4409-A2DF-C1949F2CD13B}"/>
              </c:ext>
            </c:extLst>
          </c:dPt>
          <c:val>
            <c:numRef>
              <c:f>Calculations!$J$35:$J$40</c:f>
              <c:numCache>
                <c:formatCode>_(* #,##0_);_(* \(#,##0\);_(* "-"??_);_(@_)</c:formatCode>
                <c:ptCount val="6"/>
                <c:pt idx="0">
                  <c:v>0</c:v>
                </c:pt>
                <c:pt idx="1">
                  <c:v>0</c:v>
                </c:pt>
                <c:pt idx="2">
                  <c:v>0</c:v>
                </c:pt>
                <c:pt idx="3">
                  <c:v>0</c:v>
                </c:pt>
                <c:pt idx="4">
                  <c:v>0</c:v>
                </c:pt>
                <c:pt idx="5">
                  <c:v>0</c:v>
                </c:pt>
              </c:numCache>
            </c:numRef>
          </c:val>
          <c:extLst>
            <c:ext xmlns:c15="http://schemas.microsoft.com/office/drawing/2012/chart" uri="{02D57815-91ED-43cb-92C2-25804820EDAC}">
              <c15:filteredCategoryTitle>
                <c15:cat>
                  <c:strRef>
                    <c:extLst>
                      <c:ext uri="{02D57815-91ED-43cb-92C2-25804820EDAC}">
                        <c15:formulaRef>
                          <c15:sqref>Calculations!$I$35:$I$40</c15:sqref>
                        </c15:formulaRef>
                      </c:ext>
                    </c:extLst>
                    <c:strCache>
                      <c:ptCount val="6"/>
                    </c:strCache>
                  </c:strRef>
                </c15:cat>
              </c15:filteredCategoryTitle>
            </c:ext>
            <c:ext xmlns:c16="http://schemas.microsoft.com/office/drawing/2014/chart" uri="{C3380CC4-5D6E-409C-BE32-E72D297353CC}">
              <c16:uniqueId val="{0000000C-4215-4409-A2DF-C1949F2CD1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2DC2-4A44-A83C-D372922E1F3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DC2-4A44-A83C-D372922E1F38}"/>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2DC2-4A44-A83C-D372922E1F38}"/>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2DC2-4A44-A83C-D372922E1F38}"/>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2DC2-4A44-A83C-D372922E1F38}"/>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2DC2-4A44-A83C-D372922E1F38}"/>
              </c:ext>
            </c:extLst>
          </c:dPt>
          <c:cat>
            <c:strRef>
              <c:f>Calculations!$M$35:$M$40</c:f>
              <c:strCache>
                <c:ptCount val="6"/>
              </c:strCache>
            </c:strRef>
          </c:cat>
          <c:val>
            <c:numRef>
              <c:f>Calculations!$N$35:$N$40</c:f>
              <c:numCache>
                <c:formatCode>_(* #,##0_);_(* \(#,##0\);_(* "-"??_);_(@_)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2DC2-4A44-A83C-D372922E1F3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bg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7156-4A8A-B4C1-0B69A3836B88}"/>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7156-4A8A-B4C1-0B69A3836B88}"/>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7156-4A8A-B4C1-0B69A3836B88}"/>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7-7156-4A8A-B4C1-0B69A3836B88}"/>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9-7156-4A8A-B4C1-0B69A3836B88}"/>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0B-7156-4A8A-B4C1-0B69A3836B88}"/>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D-7156-4A8A-B4C1-0B69A3836B88}"/>
              </c:ext>
            </c:extLst>
          </c:dPt>
          <c:dPt>
            <c:idx val="14"/>
            <c:invertIfNegative val="0"/>
            <c:bubble3D val="0"/>
            <c:spPr>
              <a:solidFill>
                <a:schemeClr val="accent5"/>
              </a:solidFill>
              <a:ln>
                <a:noFill/>
              </a:ln>
              <a:effectLst/>
            </c:spPr>
            <c:extLst>
              <c:ext xmlns:c16="http://schemas.microsoft.com/office/drawing/2014/chart" uri="{C3380CC4-5D6E-409C-BE32-E72D297353CC}">
                <c16:uniqueId val="{0000000F-7156-4A8A-B4C1-0B69A3836B88}"/>
              </c:ext>
            </c:extLst>
          </c:dPt>
          <c:dPt>
            <c:idx val="17"/>
            <c:invertIfNegative val="0"/>
            <c:bubble3D val="0"/>
            <c:spPr>
              <a:solidFill>
                <a:schemeClr val="accent2"/>
              </a:solidFill>
              <a:ln>
                <a:noFill/>
              </a:ln>
              <a:effectLst/>
            </c:spPr>
            <c:extLst>
              <c:ext xmlns:c16="http://schemas.microsoft.com/office/drawing/2014/chart" uri="{C3380CC4-5D6E-409C-BE32-E72D297353CC}">
                <c16:uniqueId val="{00000011-7156-4A8A-B4C1-0B69A3836B88}"/>
              </c:ext>
            </c:extLst>
          </c:dPt>
          <c:dPt>
            <c:idx val="18"/>
            <c:invertIfNegative val="0"/>
            <c:bubble3D val="0"/>
            <c:spPr>
              <a:solidFill>
                <a:schemeClr val="accent5"/>
              </a:solidFill>
              <a:ln>
                <a:noFill/>
              </a:ln>
              <a:effectLst/>
            </c:spPr>
            <c:extLst>
              <c:ext xmlns:c16="http://schemas.microsoft.com/office/drawing/2014/chart" uri="{C3380CC4-5D6E-409C-BE32-E72D297353CC}">
                <c16:uniqueId val="{00000013-7156-4A8A-B4C1-0B69A3836B88}"/>
              </c:ext>
            </c:extLst>
          </c:dPt>
          <c:dPt>
            <c:idx val="21"/>
            <c:invertIfNegative val="0"/>
            <c:bubble3D val="0"/>
            <c:spPr>
              <a:solidFill>
                <a:schemeClr val="accent2"/>
              </a:solidFill>
              <a:ln>
                <a:noFill/>
              </a:ln>
              <a:effectLst/>
            </c:spPr>
            <c:extLst>
              <c:ext xmlns:c16="http://schemas.microsoft.com/office/drawing/2014/chart" uri="{C3380CC4-5D6E-409C-BE32-E72D297353CC}">
                <c16:uniqueId val="{00000015-7156-4A8A-B4C1-0B69A3836B88}"/>
              </c:ext>
            </c:extLst>
          </c:dPt>
          <c:dPt>
            <c:idx val="22"/>
            <c:invertIfNegative val="0"/>
            <c:bubble3D val="0"/>
            <c:spPr>
              <a:solidFill>
                <a:schemeClr val="accent5"/>
              </a:solidFill>
              <a:ln>
                <a:noFill/>
              </a:ln>
              <a:effectLst/>
            </c:spPr>
            <c:extLst>
              <c:ext xmlns:c16="http://schemas.microsoft.com/office/drawing/2014/chart" uri="{C3380CC4-5D6E-409C-BE32-E72D297353CC}">
                <c16:uniqueId val="{00000017-7156-4A8A-B4C1-0B69A3836B88}"/>
              </c:ext>
            </c:extLst>
          </c:dPt>
          <c:dPt>
            <c:idx val="25"/>
            <c:invertIfNegative val="0"/>
            <c:bubble3D val="0"/>
            <c:spPr>
              <a:solidFill>
                <a:schemeClr val="accent2"/>
              </a:solidFill>
              <a:ln>
                <a:noFill/>
              </a:ln>
              <a:effectLst/>
            </c:spPr>
            <c:extLst>
              <c:ext xmlns:c16="http://schemas.microsoft.com/office/drawing/2014/chart" uri="{C3380CC4-5D6E-409C-BE32-E72D297353CC}">
                <c16:uniqueId val="{00000019-7156-4A8A-B4C1-0B69A3836B88}"/>
              </c:ext>
            </c:extLst>
          </c:dPt>
          <c:dPt>
            <c:idx val="26"/>
            <c:invertIfNegative val="0"/>
            <c:bubble3D val="0"/>
            <c:spPr>
              <a:solidFill>
                <a:schemeClr val="accent5"/>
              </a:solidFill>
              <a:ln>
                <a:noFill/>
              </a:ln>
              <a:effectLst/>
            </c:spPr>
            <c:extLst>
              <c:ext xmlns:c16="http://schemas.microsoft.com/office/drawing/2014/chart" uri="{C3380CC4-5D6E-409C-BE32-E72D297353CC}">
                <c16:uniqueId val="{0000001B-7156-4A8A-B4C1-0B69A3836B88}"/>
              </c:ext>
            </c:extLst>
          </c:dPt>
          <c:dPt>
            <c:idx val="29"/>
            <c:invertIfNegative val="0"/>
            <c:bubble3D val="0"/>
            <c:spPr>
              <a:solidFill>
                <a:schemeClr val="accent2"/>
              </a:solidFill>
              <a:ln>
                <a:noFill/>
              </a:ln>
              <a:effectLst/>
            </c:spPr>
            <c:extLst>
              <c:ext xmlns:c16="http://schemas.microsoft.com/office/drawing/2014/chart" uri="{C3380CC4-5D6E-409C-BE32-E72D297353CC}">
                <c16:uniqueId val="{0000001D-7156-4A8A-B4C1-0B69A3836B88}"/>
              </c:ext>
            </c:extLst>
          </c:dPt>
          <c:dPt>
            <c:idx val="30"/>
            <c:invertIfNegative val="0"/>
            <c:bubble3D val="0"/>
            <c:spPr>
              <a:solidFill>
                <a:schemeClr val="accent5"/>
              </a:solidFill>
              <a:ln>
                <a:noFill/>
              </a:ln>
              <a:effectLst/>
            </c:spPr>
            <c:extLst>
              <c:ext xmlns:c16="http://schemas.microsoft.com/office/drawing/2014/chart" uri="{C3380CC4-5D6E-409C-BE32-E72D297353CC}">
                <c16:uniqueId val="{0000001F-7156-4A8A-B4C1-0B69A3836B88}"/>
              </c:ext>
            </c:extLst>
          </c:dPt>
          <c:dPt>
            <c:idx val="33"/>
            <c:invertIfNegative val="0"/>
            <c:bubble3D val="0"/>
            <c:spPr>
              <a:solidFill>
                <a:schemeClr val="accent2"/>
              </a:solidFill>
              <a:ln>
                <a:noFill/>
              </a:ln>
              <a:effectLst/>
            </c:spPr>
            <c:extLst>
              <c:ext xmlns:c16="http://schemas.microsoft.com/office/drawing/2014/chart" uri="{C3380CC4-5D6E-409C-BE32-E72D297353CC}">
                <c16:uniqueId val="{00000021-7156-4A8A-B4C1-0B69A3836B88}"/>
              </c:ext>
            </c:extLst>
          </c:dPt>
          <c:dPt>
            <c:idx val="34"/>
            <c:invertIfNegative val="0"/>
            <c:bubble3D val="0"/>
            <c:spPr>
              <a:solidFill>
                <a:schemeClr val="accent5"/>
              </a:solidFill>
              <a:ln>
                <a:noFill/>
              </a:ln>
              <a:effectLst/>
            </c:spPr>
            <c:extLst>
              <c:ext xmlns:c16="http://schemas.microsoft.com/office/drawing/2014/chart" uri="{C3380CC4-5D6E-409C-BE32-E72D297353CC}">
                <c16:uniqueId val="{00000023-7156-4A8A-B4C1-0B69A3836B88}"/>
              </c:ext>
            </c:extLst>
          </c:dPt>
          <c:dPt>
            <c:idx val="37"/>
            <c:invertIfNegative val="0"/>
            <c:bubble3D val="0"/>
            <c:spPr>
              <a:solidFill>
                <a:schemeClr val="accent2"/>
              </a:solidFill>
              <a:ln>
                <a:noFill/>
              </a:ln>
              <a:effectLst/>
            </c:spPr>
            <c:extLst>
              <c:ext xmlns:c16="http://schemas.microsoft.com/office/drawing/2014/chart" uri="{C3380CC4-5D6E-409C-BE32-E72D297353CC}">
                <c16:uniqueId val="{00000025-7156-4A8A-B4C1-0B69A3836B88}"/>
              </c:ext>
            </c:extLst>
          </c:dPt>
          <c:dPt>
            <c:idx val="38"/>
            <c:invertIfNegative val="0"/>
            <c:bubble3D val="0"/>
            <c:spPr>
              <a:solidFill>
                <a:schemeClr val="accent5"/>
              </a:solidFill>
              <a:ln>
                <a:noFill/>
              </a:ln>
              <a:effectLst/>
            </c:spPr>
            <c:extLst>
              <c:ext xmlns:c16="http://schemas.microsoft.com/office/drawing/2014/chart" uri="{C3380CC4-5D6E-409C-BE32-E72D297353CC}">
                <c16:uniqueId val="{00000027-7156-4A8A-B4C1-0B69A3836B88}"/>
              </c:ext>
            </c:extLst>
          </c:dPt>
          <c:dPt>
            <c:idx val="41"/>
            <c:invertIfNegative val="0"/>
            <c:bubble3D val="0"/>
            <c:spPr>
              <a:solidFill>
                <a:schemeClr val="accent2"/>
              </a:solidFill>
              <a:ln>
                <a:noFill/>
              </a:ln>
              <a:effectLst/>
            </c:spPr>
            <c:extLst>
              <c:ext xmlns:c16="http://schemas.microsoft.com/office/drawing/2014/chart" uri="{C3380CC4-5D6E-409C-BE32-E72D297353CC}">
                <c16:uniqueId val="{00000029-7156-4A8A-B4C1-0B69A3836B88}"/>
              </c:ext>
            </c:extLst>
          </c:dPt>
          <c:dPt>
            <c:idx val="42"/>
            <c:invertIfNegative val="0"/>
            <c:bubble3D val="0"/>
            <c:spPr>
              <a:solidFill>
                <a:schemeClr val="accent5"/>
              </a:solidFill>
              <a:ln>
                <a:noFill/>
              </a:ln>
              <a:effectLst/>
            </c:spPr>
            <c:extLst>
              <c:ext xmlns:c16="http://schemas.microsoft.com/office/drawing/2014/chart" uri="{C3380CC4-5D6E-409C-BE32-E72D297353CC}">
                <c16:uniqueId val="{0000002B-7156-4A8A-B4C1-0B69A3836B88}"/>
              </c:ext>
            </c:extLst>
          </c:dPt>
          <c:dPt>
            <c:idx val="45"/>
            <c:invertIfNegative val="0"/>
            <c:bubble3D val="0"/>
            <c:spPr>
              <a:solidFill>
                <a:schemeClr val="accent2"/>
              </a:solidFill>
              <a:ln>
                <a:noFill/>
              </a:ln>
              <a:effectLst/>
            </c:spPr>
            <c:extLst>
              <c:ext xmlns:c16="http://schemas.microsoft.com/office/drawing/2014/chart" uri="{C3380CC4-5D6E-409C-BE32-E72D297353CC}">
                <c16:uniqueId val="{0000002D-7156-4A8A-B4C1-0B69A3836B88}"/>
              </c:ext>
            </c:extLst>
          </c:dPt>
          <c:dPt>
            <c:idx val="46"/>
            <c:invertIfNegative val="0"/>
            <c:bubble3D val="0"/>
            <c:spPr>
              <a:solidFill>
                <a:schemeClr val="accent5"/>
              </a:solidFill>
              <a:ln>
                <a:noFill/>
              </a:ln>
              <a:effectLst/>
            </c:spPr>
            <c:extLst>
              <c:ext xmlns:c16="http://schemas.microsoft.com/office/drawing/2014/chart" uri="{C3380CC4-5D6E-409C-BE32-E72D297353CC}">
                <c16:uniqueId val="{0000002F-7156-4A8A-B4C1-0B69A3836B88}"/>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Calculations!$M$55:$M$102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30-7156-4A8A-B4C1-0B69A3836B88}"/>
            </c:ext>
          </c:extLst>
        </c:ser>
        <c:ser>
          <c:idx val="1"/>
          <c:order val="1"/>
          <c:spPr>
            <a:solidFill>
              <a:schemeClr val="bg2">
                <a:lumMod val="20000"/>
                <a:lumOff val="80000"/>
              </a:schemeClr>
            </a:solidFill>
            <a:ln>
              <a:noFill/>
            </a:ln>
            <a:effectLst/>
          </c:spPr>
          <c:invertIfNegative val="0"/>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2-7156-4A8A-B4C1-0B69A3836B88}"/>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34-7156-4A8A-B4C1-0B69A3836B88}"/>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6-7156-4A8A-B4C1-0B69A3836B88}"/>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38-7156-4A8A-B4C1-0B69A3836B88}"/>
              </c:ext>
            </c:extLst>
          </c:dPt>
          <c:dPt>
            <c:idx val="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A-7156-4A8A-B4C1-0B69A3836B88}"/>
              </c:ext>
            </c:extLst>
          </c:dPt>
          <c:dPt>
            <c:idx val="1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3C-7156-4A8A-B4C1-0B69A3836B88}"/>
              </c:ext>
            </c:extLst>
          </c:dPt>
          <c:dPt>
            <c:idx val="1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E-7156-4A8A-B4C1-0B69A3836B88}"/>
              </c:ext>
            </c:extLst>
          </c:dPt>
          <c:dPt>
            <c:idx val="1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0-7156-4A8A-B4C1-0B69A3836B88}"/>
              </c:ext>
            </c:extLst>
          </c:dPt>
          <c:dPt>
            <c:idx val="1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2-7156-4A8A-B4C1-0B69A3836B88}"/>
              </c:ext>
            </c:extLst>
          </c:dPt>
          <c:dPt>
            <c:idx val="1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4-7156-4A8A-B4C1-0B69A3836B88}"/>
              </c:ext>
            </c:extLst>
          </c:dPt>
          <c:dPt>
            <c:idx val="2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6-7156-4A8A-B4C1-0B69A3836B88}"/>
              </c:ext>
            </c:extLst>
          </c:dPt>
          <c:dPt>
            <c:idx val="2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8-7156-4A8A-B4C1-0B69A3836B88}"/>
              </c:ext>
            </c:extLst>
          </c:dPt>
          <c:dPt>
            <c:idx val="2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A-7156-4A8A-B4C1-0B69A3836B88}"/>
              </c:ext>
            </c:extLst>
          </c:dPt>
          <c:dPt>
            <c:idx val="2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C-7156-4A8A-B4C1-0B69A3836B88}"/>
              </c:ext>
            </c:extLst>
          </c:dPt>
          <c:dPt>
            <c:idx val="2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E-7156-4A8A-B4C1-0B69A3836B88}"/>
              </c:ext>
            </c:extLst>
          </c:dPt>
          <c:dPt>
            <c:idx val="3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0-7156-4A8A-B4C1-0B69A3836B88}"/>
              </c:ext>
            </c:extLst>
          </c:dPt>
          <c:dPt>
            <c:idx val="3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2-7156-4A8A-B4C1-0B69A3836B88}"/>
              </c:ext>
            </c:extLst>
          </c:dPt>
          <c:dPt>
            <c:idx val="3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4-7156-4A8A-B4C1-0B69A3836B88}"/>
              </c:ext>
            </c:extLst>
          </c:dPt>
          <c:dPt>
            <c:idx val="3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6-7156-4A8A-B4C1-0B69A3836B88}"/>
              </c:ext>
            </c:extLst>
          </c:dPt>
          <c:dPt>
            <c:idx val="3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8-7156-4A8A-B4C1-0B69A3836B88}"/>
              </c:ext>
            </c:extLst>
          </c:dPt>
          <c:dPt>
            <c:idx val="4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A-7156-4A8A-B4C1-0B69A3836B88}"/>
              </c:ext>
            </c:extLst>
          </c:dPt>
          <c:dPt>
            <c:idx val="4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C-7156-4A8A-B4C1-0B69A3836B88}"/>
              </c:ext>
            </c:extLst>
          </c:dPt>
          <c:dPt>
            <c:idx val="4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E-7156-4A8A-B4C1-0B69A3836B88}"/>
              </c:ext>
            </c:extLst>
          </c:dPt>
          <c:dPt>
            <c:idx val="4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60-7156-4A8A-B4C1-0B69A3836B88}"/>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Calculations!$N$55:$N$102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61-7156-4A8A-B4C1-0B69A3836B88}"/>
            </c:ext>
          </c:extLst>
        </c:ser>
        <c:ser>
          <c:idx val="2"/>
          <c:order val="2"/>
          <c:spPr>
            <a:solidFill>
              <a:schemeClr val="bg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63-7156-4A8A-B4C1-0B69A3836B88}"/>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65-7156-4A8A-B4C1-0B69A3836B88}"/>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67-7156-4A8A-B4C1-0B69A3836B88}"/>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69-7156-4A8A-B4C1-0B69A3836B88}"/>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6B-7156-4A8A-B4C1-0B69A3836B88}"/>
              </c:ext>
            </c:extLst>
          </c:dPt>
          <c:dPt>
            <c:idx val="10"/>
            <c:invertIfNegative val="0"/>
            <c:bubble3D val="0"/>
            <c:spPr>
              <a:solidFill>
                <a:schemeClr val="accent5">
                  <a:lumMod val="75000"/>
                </a:schemeClr>
              </a:solidFill>
              <a:ln>
                <a:noFill/>
              </a:ln>
              <a:effectLst/>
            </c:spPr>
            <c:extLst>
              <c:ext xmlns:c16="http://schemas.microsoft.com/office/drawing/2014/chart" uri="{C3380CC4-5D6E-409C-BE32-E72D297353CC}">
                <c16:uniqueId val="{0000006D-7156-4A8A-B4C1-0B69A3836B88}"/>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6F-7156-4A8A-B4C1-0B69A3836B88}"/>
              </c:ext>
            </c:extLst>
          </c:dPt>
          <c:dPt>
            <c:idx val="14"/>
            <c:invertIfNegative val="0"/>
            <c:bubble3D val="0"/>
            <c:spPr>
              <a:solidFill>
                <a:schemeClr val="accent5">
                  <a:lumMod val="75000"/>
                </a:schemeClr>
              </a:solidFill>
              <a:ln>
                <a:noFill/>
              </a:ln>
              <a:effectLst/>
            </c:spPr>
            <c:extLst>
              <c:ext xmlns:c16="http://schemas.microsoft.com/office/drawing/2014/chart" uri="{C3380CC4-5D6E-409C-BE32-E72D297353CC}">
                <c16:uniqueId val="{00000071-7156-4A8A-B4C1-0B69A3836B88}"/>
              </c:ext>
            </c:extLst>
          </c:dPt>
          <c:dPt>
            <c:idx val="17"/>
            <c:invertIfNegative val="0"/>
            <c:bubble3D val="0"/>
            <c:spPr>
              <a:solidFill>
                <a:schemeClr val="accent2">
                  <a:lumMod val="75000"/>
                </a:schemeClr>
              </a:solidFill>
              <a:ln>
                <a:noFill/>
              </a:ln>
              <a:effectLst/>
            </c:spPr>
            <c:extLst>
              <c:ext xmlns:c16="http://schemas.microsoft.com/office/drawing/2014/chart" uri="{C3380CC4-5D6E-409C-BE32-E72D297353CC}">
                <c16:uniqueId val="{00000073-7156-4A8A-B4C1-0B69A3836B88}"/>
              </c:ext>
            </c:extLst>
          </c:dPt>
          <c:dPt>
            <c:idx val="18"/>
            <c:invertIfNegative val="0"/>
            <c:bubble3D val="0"/>
            <c:spPr>
              <a:solidFill>
                <a:schemeClr val="accent5">
                  <a:lumMod val="75000"/>
                </a:schemeClr>
              </a:solidFill>
              <a:ln>
                <a:noFill/>
              </a:ln>
              <a:effectLst/>
            </c:spPr>
            <c:extLst>
              <c:ext xmlns:c16="http://schemas.microsoft.com/office/drawing/2014/chart" uri="{C3380CC4-5D6E-409C-BE32-E72D297353CC}">
                <c16:uniqueId val="{00000075-7156-4A8A-B4C1-0B69A3836B88}"/>
              </c:ext>
            </c:extLst>
          </c:dPt>
          <c:dPt>
            <c:idx val="21"/>
            <c:invertIfNegative val="0"/>
            <c:bubble3D val="0"/>
            <c:spPr>
              <a:solidFill>
                <a:schemeClr val="accent2">
                  <a:lumMod val="75000"/>
                </a:schemeClr>
              </a:solidFill>
              <a:ln>
                <a:noFill/>
              </a:ln>
              <a:effectLst/>
            </c:spPr>
            <c:extLst>
              <c:ext xmlns:c16="http://schemas.microsoft.com/office/drawing/2014/chart" uri="{C3380CC4-5D6E-409C-BE32-E72D297353CC}">
                <c16:uniqueId val="{00000077-7156-4A8A-B4C1-0B69A3836B88}"/>
              </c:ext>
            </c:extLst>
          </c:dPt>
          <c:dPt>
            <c:idx val="22"/>
            <c:invertIfNegative val="0"/>
            <c:bubble3D val="0"/>
            <c:spPr>
              <a:solidFill>
                <a:schemeClr val="accent5">
                  <a:lumMod val="75000"/>
                </a:schemeClr>
              </a:solidFill>
              <a:ln>
                <a:noFill/>
              </a:ln>
              <a:effectLst/>
            </c:spPr>
            <c:extLst>
              <c:ext xmlns:c16="http://schemas.microsoft.com/office/drawing/2014/chart" uri="{C3380CC4-5D6E-409C-BE32-E72D297353CC}">
                <c16:uniqueId val="{00000079-7156-4A8A-B4C1-0B69A3836B88}"/>
              </c:ext>
            </c:extLst>
          </c:dPt>
          <c:dPt>
            <c:idx val="25"/>
            <c:invertIfNegative val="0"/>
            <c:bubble3D val="0"/>
            <c:spPr>
              <a:solidFill>
                <a:schemeClr val="accent2">
                  <a:lumMod val="75000"/>
                </a:schemeClr>
              </a:solidFill>
              <a:ln>
                <a:noFill/>
              </a:ln>
              <a:effectLst/>
            </c:spPr>
            <c:extLst>
              <c:ext xmlns:c16="http://schemas.microsoft.com/office/drawing/2014/chart" uri="{C3380CC4-5D6E-409C-BE32-E72D297353CC}">
                <c16:uniqueId val="{0000007B-7156-4A8A-B4C1-0B69A3836B88}"/>
              </c:ext>
            </c:extLst>
          </c:dPt>
          <c:dPt>
            <c:idx val="26"/>
            <c:invertIfNegative val="0"/>
            <c:bubble3D val="0"/>
            <c:spPr>
              <a:solidFill>
                <a:schemeClr val="accent5">
                  <a:lumMod val="75000"/>
                </a:schemeClr>
              </a:solidFill>
              <a:ln>
                <a:noFill/>
              </a:ln>
              <a:effectLst/>
            </c:spPr>
            <c:extLst>
              <c:ext xmlns:c16="http://schemas.microsoft.com/office/drawing/2014/chart" uri="{C3380CC4-5D6E-409C-BE32-E72D297353CC}">
                <c16:uniqueId val="{0000007D-7156-4A8A-B4C1-0B69A3836B88}"/>
              </c:ext>
            </c:extLst>
          </c:dPt>
          <c:dPt>
            <c:idx val="29"/>
            <c:invertIfNegative val="0"/>
            <c:bubble3D val="0"/>
            <c:spPr>
              <a:solidFill>
                <a:schemeClr val="accent2">
                  <a:lumMod val="75000"/>
                </a:schemeClr>
              </a:solidFill>
              <a:ln>
                <a:noFill/>
              </a:ln>
              <a:effectLst/>
            </c:spPr>
            <c:extLst>
              <c:ext xmlns:c16="http://schemas.microsoft.com/office/drawing/2014/chart" uri="{C3380CC4-5D6E-409C-BE32-E72D297353CC}">
                <c16:uniqueId val="{0000007F-7156-4A8A-B4C1-0B69A3836B88}"/>
              </c:ext>
            </c:extLst>
          </c:dPt>
          <c:dPt>
            <c:idx val="30"/>
            <c:invertIfNegative val="0"/>
            <c:bubble3D val="0"/>
            <c:spPr>
              <a:solidFill>
                <a:schemeClr val="accent5">
                  <a:lumMod val="75000"/>
                </a:schemeClr>
              </a:solidFill>
              <a:ln>
                <a:noFill/>
              </a:ln>
              <a:effectLst/>
            </c:spPr>
            <c:extLst>
              <c:ext xmlns:c16="http://schemas.microsoft.com/office/drawing/2014/chart" uri="{C3380CC4-5D6E-409C-BE32-E72D297353CC}">
                <c16:uniqueId val="{00000081-7156-4A8A-B4C1-0B69A3836B88}"/>
              </c:ext>
            </c:extLst>
          </c:dPt>
          <c:dPt>
            <c:idx val="33"/>
            <c:invertIfNegative val="0"/>
            <c:bubble3D val="0"/>
            <c:spPr>
              <a:solidFill>
                <a:schemeClr val="accent2">
                  <a:lumMod val="75000"/>
                </a:schemeClr>
              </a:solidFill>
              <a:ln>
                <a:noFill/>
              </a:ln>
              <a:effectLst/>
            </c:spPr>
            <c:extLst>
              <c:ext xmlns:c16="http://schemas.microsoft.com/office/drawing/2014/chart" uri="{C3380CC4-5D6E-409C-BE32-E72D297353CC}">
                <c16:uniqueId val="{00000083-7156-4A8A-B4C1-0B69A3836B88}"/>
              </c:ext>
            </c:extLst>
          </c:dPt>
          <c:dPt>
            <c:idx val="34"/>
            <c:invertIfNegative val="0"/>
            <c:bubble3D val="0"/>
            <c:spPr>
              <a:solidFill>
                <a:schemeClr val="accent5">
                  <a:lumMod val="75000"/>
                </a:schemeClr>
              </a:solidFill>
              <a:ln>
                <a:noFill/>
              </a:ln>
              <a:effectLst/>
            </c:spPr>
            <c:extLst>
              <c:ext xmlns:c16="http://schemas.microsoft.com/office/drawing/2014/chart" uri="{C3380CC4-5D6E-409C-BE32-E72D297353CC}">
                <c16:uniqueId val="{00000085-7156-4A8A-B4C1-0B69A3836B88}"/>
              </c:ext>
            </c:extLst>
          </c:dPt>
          <c:dPt>
            <c:idx val="37"/>
            <c:invertIfNegative val="0"/>
            <c:bubble3D val="0"/>
            <c:spPr>
              <a:solidFill>
                <a:schemeClr val="accent2">
                  <a:lumMod val="75000"/>
                </a:schemeClr>
              </a:solidFill>
              <a:ln>
                <a:noFill/>
              </a:ln>
              <a:effectLst/>
            </c:spPr>
            <c:extLst>
              <c:ext xmlns:c16="http://schemas.microsoft.com/office/drawing/2014/chart" uri="{C3380CC4-5D6E-409C-BE32-E72D297353CC}">
                <c16:uniqueId val="{00000087-7156-4A8A-B4C1-0B69A3836B88}"/>
              </c:ext>
            </c:extLst>
          </c:dPt>
          <c:dPt>
            <c:idx val="38"/>
            <c:invertIfNegative val="0"/>
            <c:bubble3D val="0"/>
            <c:spPr>
              <a:solidFill>
                <a:schemeClr val="accent5">
                  <a:lumMod val="75000"/>
                </a:schemeClr>
              </a:solidFill>
              <a:ln>
                <a:noFill/>
              </a:ln>
              <a:effectLst/>
            </c:spPr>
            <c:extLst>
              <c:ext xmlns:c16="http://schemas.microsoft.com/office/drawing/2014/chart" uri="{C3380CC4-5D6E-409C-BE32-E72D297353CC}">
                <c16:uniqueId val="{00000089-7156-4A8A-B4C1-0B69A3836B88}"/>
              </c:ext>
            </c:extLst>
          </c:dPt>
          <c:dPt>
            <c:idx val="41"/>
            <c:invertIfNegative val="0"/>
            <c:bubble3D val="0"/>
            <c:spPr>
              <a:solidFill>
                <a:schemeClr val="accent2">
                  <a:lumMod val="75000"/>
                </a:schemeClr>
              </a:solidFill>
              <a:ln>
                <a:noFill/>
              </a:ln>
              <a:effectLst/>
            </c:spPr>
            <c:extLst>
              <c:ext xmlns:c16="http://schemas.microsoft.com/office/drawing/2014/chart" uri="{C3380CC4-5D6E-409C-BE32-E72D297353CC}">
                <c16:uniqueId val="{0000008B-7156-4A8A-B4C1-0B69A3836B88}"/>
              </c:ext>
            </c:extLst>
          </c:dPt>
          <c:dPt>
            <c:idx val="42"/>
            <c:invertIfNegative val="0"/>
            <c:bubble3D val="0"/>
            <c:spPr>
              <a:solidFill>
                <a:schemeClr val="accent5">
                  <a:lumMod val="75000"/>
                </a:schemeClr>
              </a:solidFill>
              <a:ln>
                <a:noFill/>
              </a:ln>
              <a:effectLst/>
            </c:spPr>
            <c:extLst>
              <c:ext xmlns:c16="http://schemas.microsoft.com/office/drawing/2014/chart" uri="{C3380CC4-5D6E-409C-BE32-E72D297353CC}">
                <c16:uniqueId val="{0000008D-7156-4A8A-B4C1-0B69A3836B88}"/>
              </c:ext>
            </c:extLst>
          </c:dPt>
          <c:dPt>
            <c:idx val="45"/>
            <c:invertIfNegative val="0"/>
            <c:bubble3D val="0"/>
            <c:spPr>
              <a:solidFill>
                <a:schemeClr val="accent2">
                  <a:lumMod val="75000"/>
                </a:schemeClr>
              </a:solidFill>
              <a:ln>
                <a:noFill/>
              </a:ln>
              <a:effectLst/>
            </c:spPr>
            <c:extLst>
              <c:ext xmlns:c16="http://schemas.microsoft.com/office/drawing/2014/chart" uri="{C3380CC4-5D6E-409C-BE32-E72D297353CC}">
                <c16:uniqueId val="{0000008F-7156-4A8A-B4C1-0B69A3836B88}"/>
              </c:ext>
            </c:extLst>
          </c:dPt>
          <c:dPt>
            <c:idx val="46"/>
            <c:invertIfNegative val="0"/>
            <c:bubble3D val="0"/>
            <c:spPr>
              <a:solidFill>
                <a:schemeClr val="accent5">
                  <a:lumMod val="75000"/>
                </a:schemeClr>
              </a:solidFill>
              <a:ln>
                <a:noFill/>
              </a:ln>
              <a:effectLst/>
            </c:spPr>
            <c:extLst>
              <c:ext xmlns:c16="http://schemas.microsoft.com/office/drawing/2014/chart" uri="{C3380CC4-5D6E-409C-BE32-E72D297353CC}">
                <c16:uniqueId val="{00000091-7156-4A8A-B4C1-0B69A3836B88}"/>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Calculations!$O$55:$O$102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2-7156-4A8A-B4C1-0B69A3836B88}"/>
            </c:ext>
          </c:extLst>
        </c:ser>
        <c:ser>
          <c:idx val="3"/>
          <c:order val="3"/>
          <c:spPr>
            <a:solidFill>
              <a:srgbClr val="E0E0E0"/>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Calculations!$P$55:$P$102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7156-4A8A-B4C1-0B69A3836B88}"/>
            </c:ext>
          </c:extLst>
        </c:ser>
        <c:ser>
          <c:idx val="4"/>
          <c:order val="4"/>
          <c:spPr>
            <a:solidFill>
              <a:srgbClr val="F3F3F3"/>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Calculations!$Q$55:$Q$102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4-7156-4A8A-B4C1-0B69A3836B88}"/>
            </c:ext>
          </c:extLst>
        </c:ser>
        <c:ser>
          <c:idx val="5"/>
          <c:order val="5"/>
          <c:spPr>
            <a:solidFill>
              <a:srgbClr val="D3D3D3"/>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Calculations!$R$55:$R$102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5-7156-4A8A-B4C1-0B69A3836B88}"/>
            </c:ext>
          </c:extLst>
        </c:ser>
        <c:dLbls>
          <c:showLegendKey val="0"/>
          <c:showVal val="0"/>
          <c:showCatName val="0"/>
          <c:showSerName val="0"/>
          <c:showPercent val="0"/>
          <c:showBubbleSize val="0"/>
        </c:dLbls>
        <c:gapWidth val="15"/>
        <c:overlap val="100"/>
        <c:axId val="1001089839"/>
        <c:axId val="1001081935"/>
      </c:barChart>
      <c:catAx>
        <c:axId val="1001089839"/>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65000"/>
                  </a:schemeClr>
                </a:solidFill>
                <a:latin typeface="+mn-lt"/>
                <a:ea typeface="+mn-ea"/>
                <a:cs typeface="+mn-cs"/>
              </a:defRPr>
            </a:pPr>
            <a:endParaRPr lang="en-DE"/>
          </a:p>
        </c:txPr>
        <c:crossAx val="1001081935"/>
        <c:crosses val="autoZero"/>
        <c:auto val="0"/>
        <c:lblAlgn val="ctr"/>
        <c:lblOffset val="100"/>
        <c:noMultiLvlLbl val="0"/>
      </c:catAx>
      <c:valAx>
        <c:axId val="100108193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65000"/>
                  </a:schemeClr>
                </a:solidFill>
                <a:latin typeface="+mn-lt"/>
                <a:ea typeface="+mn-ea"/>
                <a:cs typeface="+mn-cs"/>
              </a:defRPr>
            </a:pPr>
            <a:endParaRPr lang="en-DE"/>
          </a:p>
        </c:txPr>
        <c:crossAx val="100108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val>
            <c:numRef>
              <c:f>Calculations!$E$24</c:f>
              <c:numCache>
                <c:formatCode>0%</c:formatCode>
                <c:ptCount val="1"/>
                <c:pt idx="0">
                  <c:v>0.42857142857142855</c:v>
                </c:pt>
              </c:numCache>
            </c:numRef>
          </c:val>
          <c:extLst>
            <c:ext xmlns:c16="http://schemas.microsoft.com/office/drawing/2014/chart" uri="{C3380CC4-5D6E-409C-BE32-E72D297353CC}">
              <c16:uniqueId val="{00000000-4BBF-4472-BCB3-CD8647FFF720}"/>
            </c:ext>
          </c:extLst>
        </c:ser>
        <c:dLbls>
          <c:showLegendKey val="0"/>
          <c:showVal val="0"/>
          <c:showCatName val="0"/>
          <c:showSerName val="0"/>
          <c:showPercent val="0"/>
          <c:showBubbleSize val="0"/>
        </c:dLbls>
        <c:gapWidth val="0"/>
        <c:axId val="279354288"/>
        <c:axId val="279356784"/>
      </c:barChart>
      <c:catAx>
        <c:axId val="279354288"/>
        <c:scaling>
          <c:orientation val="minMax"/>
        </c:scaling>
        <c:delete val="1"/>
        <c:axPos val="l"/>
        <c:majorTickMark val="none"/>
        <c:minorTickMark val="none"/>
        <c:tickLblPos val="nextTo"/>
        <c:crossAx val="279356784"/>
        <c:crosses val="autoZero"/>
        <c:auto val="1"/>
        <c:lblAlgn val="ctr"/>
        <c:lblOffset val="100"/>
        <c:noMultiLvlLbl val="0"/>
      </c:catAx>
      <c:valAx>
        <c:axId val="279356784"/>
        <c:scaling>
          <c:orientation val="minMax"/>
          <c:max val="1"/>
        </c:scaling>
        <c:delete val="1"/>
        <c:axPos val="b"/>
        <c:numFmt formatCode="0%" sourceLinked="1"/>
        <c:majorTickMark val="none"/>
        <c:minorTickMark val="none"/>
        <c:tickLblPos val="nextTo"/>
        <c:crossAx val="27935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editAs="absolute">
    <xdr:from>
      <xdr:col>2</xdr:col>
      <xdr:colOff>8466</xdr:colOff>
      <xdr:row>4</xdr:row>
      <xdr:rowOff>67732</xdr:rowOff>
    </xdr:from>
    <xdr:to>
      <xdr:col>3</xdr:col>
      <xdr:colOff>480906</xdr:colOff>
      <xdr:row>8</xdr:row>
      <xdr:rowOff>145626</xdr:rowOff>
    </xdr:to>
    <xdr:grpSp>
      <xdr:nvGrpSpPr>
        <xdr:cNvPr id="17" name="Group 16">
          <a:extLst>
            <a:ext uri="{FF2B5EF4-FFF2-40B4-BE49-F238E27FC236}">
              <a16:creationId xmlns:a16="http://schemas.microsoft.com/office/drawing/2014/main" id="{00000000-0008-0000-0300-000011000000}"/>
            </a:ext>
          </a:extLst>
        </xdr:cNvPr>
        <xdr:cNvGrpSpPr/>
      </xdr:nvGrpSpPr>
      <xdr:grpSpPr>
        <a:xfrm>
          <a:off x="598558" y="779744"/>
          <a:ext cx="1491692" cy="838676"/>
          <a:chOff x="584199" y="778931"/>
          <a:chExt cx="1463040" cy="822960"/>
        </a:xfrm>
      </xdr:grpSpPr>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584199" y="778931"/>
            <a:ext cx="1463040"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626534" y="889000"/>
            <a:ext cx="1117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Date of Today</a:t>
            </a:r>
            <a:endParaRPr lang="en-DE" sz="1100" b="1"/>
          </a:p>
        </xdr:txBody>
      </xdr:sp>
      <xdr:sp macro="" textlink="Calculations!E8">
        <xdr:nvSpPr>
          <xdr:cNvPr id="4" name="TextBox 3">
            <a:extLst>
              <a:ext uri="{FF2B5EF4-FFF2-40B4-BE49-F238E27FC236}">
                <a16:creationId xmlns:a16="http://schemas.microsoft.com/office/drawing/2014/main" id="{00000000-0008-0000-0300-000004000000}"/>
              </a:ext>
            </a:extLst>
          </xdr:cNvPr>
          <xdr:cNvSpPr txBox="1"/>
        </xdr:nvSpPr>
        <xdr:spPr>
          <a:xfrm>
            <a:off x="626534" y="1168400"/>
            <a:ext cx="1117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B7D255-257E-4084-A624-99158E2C48DC}" type="TxLink">
              <a:rPr lang="en-US" sz="1200" b="1" i="0" u="none" strike="noStrike">
                <a:solidFill>
                  <a:srgbClr val="172144"/>
                </a:solidFill>
                <a:latin typeface="Calibri"/>
                <a:cs typeface="Calibri"/>
              </a:rPr>
              <a:pPr/>
              <a:t>12-Feb-25</a:t>
            </a:fld>
            <a:endParaRPr lang="en-DE" sz="1200" b="1"/>
          </a:p>
        </xdr:txBody>
      </xdr:sp>
    </xdr:grpSp>
    <xdr:clientData/>
  </xdr:twoCellAnchor>
  <xdr:twoCellAnchor editAs="absolute">
    <xdr:from>
      <xdr:col>3</xdr:col>
      <xdr:colOff>787401</xdr:colOff>
      <xdr:row>4</xdr:row>
      <xdr:rowOff>67732</xdr:rowOff>
    </xdr:from>
    <xdr:to>
      <xdr:col>4</xdr:col>
      <xdr:colOff>1693335</xdr:colOff>
      <xdr:row>8</xdr:row>
      <xdr:rowOff>145626</xdr:rowOff>
    </xdr:to>
    <xdr:grpSp>
      <xdr:nvGrpSpPr>
        <xdr:cNvPr id="18" name="Group 17">
          <a:extLst>
            <a:ext uri="{FF2B5EF4-FFF2-40B4-BE49-F238E27FC236}">
              <a16:creationId xmlns:a16="http://schemas.microsoft.com/office/drawing/2014/main" id="{00000000-0008-0000-0300-000012000000}"/>
            </a:ext>
          </a:extLst>
        </xdr:cNvPr>
        <xdr:cNvGrpSpPr/>
      </xdr:nvGrpSpPr>
      <xdr:grpSpPr>
        <a:xfrm>
          <a:off x="2396745" y="779744"/>
          <a:ext cx="1925186" cy="838676"/>
          <a:chOff x="2336800" y="787400"/>
          <a:chExt cx="1896534" cy="822960"/>
        </a:xfrm>
      </xdr:grpSpPr>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2336800" y="787400"/>
            <a:ext cx="1896534"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2379134" y="897469"/>
            <a:ext cx="15070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Date of Last Record</a:t>
            </a:r>
            <a:endParaRPr lang="en-DE" sz="1100" b="1"/>
          </a:p>
        </xdr:txBody>
      </xdr:sp>
      <xdr:sp macro="" textlink="Calculations!E9">
        <xdr:nvSpPr>
          <xdr:cNvPr id="7" name="TextBox 6">
            <a:extLst>
              <a:ext uri="{FF2B5EF4-FFF2-40B4-BE49-F238E27FC236}">
                <a16:creationId xmlns:a16="http://schemas.microsoft.com/office/drawing/2014/main" id="{00000000-0008-0000-0300-000007000000}"/>
              </a:ext>
            </a:extLst>
          </xdr:cNvPr>
          <xdr:cNvSpPr txBox="1"/>
        </xdr:nvSpPr>
        <xdr:spPr>
          <a:xfrm>
            <a:off x="2379135" y="1176869"/>
            <a:ext cx="9482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566441-8124-4684-A9BD-8F1087D24CAC}" type="TxLink">
              <a:rPr lang="en-US" sz="1200" b="1" i="0" u="none" strike="noStrike">
                <a:solidFill>
                  <a:srgbClr val="172144"/>
                </a:solidFill>
                <a:latin typeface="Calibri"/>
                <a:cs typeface="Calibri"/>
              </a:rPr>
              <a:pPr/>
              <a:t>00-Jan-00</a:t>
            </a:fld>
            <a:endParaRPr lang="en-DE" sz="1400" b="1"/>
          </a:p>
        </xdr:txBody>
      </xdr:sp>
      <xdr:sp macro="" textlink="Calculations!E10">
        <xdr:nvSpPr>
          <xdr:cNvPr id="8" name="TextBox 7">
            <a:extLst>
              <a:ext uri="{FF2B5EF4-FFF2-40B4-BE49-F238E27FC236}">
                <a16:creationId xmlns:a16="http://schemas.microsoft.com/office/drawing/2014/main" id="{00000000-0008-0000-0300-000008000000}"/>
              </a:ext>
            </a:extLst>
          </xdr:cNvPr>
          <xdr:cNvSpPr txBox="1"/>
        </xdr:nvSpPr>
        <xdr:spPr>
          <a:xfrm>
            <a:off x="3124199" y="1193803"/>
            <a:ext cx="10075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E3345B-63E1-46EF-A010-CECD180798E3}" type="TxLink">
              <a:rPr lang="en-US" sz="1050" b="0" i="0" u="none" strike="noStrike">
                <a:solidFill>
                  <a:srgbClr val="172144"/>
                </a:solidFill>
                <a:latin typeface="Calibri"/>
                <a:cs typeface="Calibri"/>
              </a:rPr>
              <a:pPr/>
              <a:t> </a:t>
            </a:fld>
            <a:endParaRPr lang="en-DE" sz="1200" b="1"/>
          </a:p>
        </xdr:txBody>
      </xdr:sp>
    </xdr:grpSp>
    <xdr:clientData/>
  </xdr:twoCellAnchor>
  <xdr:twoCellAnchor editAs="absolute">
    <xdr:from>
      <xdr:col>5</xdr:col>
      <xdr:colOff>118534</xdr:colOff>
      <xdr:row>4</xdr:row>
      <xdr:rowOff>67732</xdr:rowOff>
    </xdr:from>
    <xdr:to>
      <xdr:col>6</xdr:col>
      <xdr:colOff>601134</xdr:colOff>
      <xdr:row>8</xdr:row>
      <xdr:rowOff>145626</xdr:rowOff>
    </xdr:to>
    <xdr:grpSp>
      <xdr:nvGrpSpPr>
        <xdr:cNvPr id="19" name="Group 18">
          <a:extLst>
            <a:ext uri="{FF2B5EF4-FFF2-40B4-BE49-F238E27FC236}">
              <a16:creationId xmlns:a16="http://schemas.microsoft.com/office/drawing/2014/main" id="{00000000-0008-0000-0300-000013000000}"/>
            </a:ext>
          </a:extLst>
        </xdr:cNvPr>
        <xdr:cNvGrpSpPr/>
      </xdr:nvGrpSpPr>
      <xdr:grpSpPr>
        <a:xfrm>
          <a:off x="4712480" y="779744"/>
          <a:ext cx="1662786" cy="838676"/>
          <a:chOff x="4580467" y="787400"/>
          <a:chExt cx="1625600" cy="822960"/>
        </a:xfrm>
      </xdr:grpSpPr>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4580467" y="787400"/>
            <a:ext cx="1625600"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4622801" y="897469"/>
            <a:ext cx="15070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 of Tracked Records</a:t>
            </a:r>
            <a:endParaRPr lang="en-DE" sz="1100" b="1"/>
          </a:p>
        </xdr:txBody>
      </xdr:sp>
      <xdr:sp macro="" textlink="Calculations!E11">
        <xdr:nvSpPr>
          <xdr:cNvPr id="11" name="TextBox 10">
            <a:extLst>
              <a:ext uri="{FF2B5EF4-FFF2-40B4-BE49-F238E27FC236}">
                <a16:creationId xmlns:a16="http://schemas.microsoft.com/office/drawing/2014/main" id="{00000000-0008-0000-0300-00000B000000}"/>
              </a:ext>
            </a:extLst>
          </xdr:cNvPr>
          <xdr:cNvSpPr txBox="1"/>
        </xdr:nvSpPr>
        <xdr:spPr>
          <a:xfrm>
            <a:off x="4622803" y="1176869"/>
            <a:ext cx="60959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DA8FD6-8E89-4668-94C6-6A47A7E3876B}" type="TxLink">
              <a:rPr lang="en-US" sz="1200" b="1" i="0" u="none" strike="noStrike">
                <a:solidFill>
                  <a:srgbClr val="172144"/>
                </a:solidFill>
                <a:latin typeface="Calibri"/>
                <a:cs typeface="Calibri"/>
              </a:rPr>
              <a:pPr/>
              <a:t>0</a:t>
            </a:fld>
            <a:endParaRPr lang="en-DE" sz="1600" b="1"/>
          </a:p>
        </xdr:txBody>
      </xdr:sp>
      <xdr:sp macro="" textlink="Calculations!E12">
        <xdr:nvSpPr>
          <xdr:cNvPr id="12" name="TextBox 11">
            <a:extLst>
              <a:ext uri="{FF2B5EF4-FFF2-40B4-BE49-F238E27FC236}">
                <a16:creationId xmlns:a16="http://schemas.microsoft.com/office/drawing/2014/main" id="{00000000-0008-0000-0300-00000C000000}"/>
              </a:ext>
            </a:extLst>
          </xdr:cNvPr>
          <xdr:cNvSpPr txBox="1"/>
        </xdr:nvSpPr>
        <xdr:spPr>
          <a:xfrm>
            <a:off x="5012263" y="1193803"/>
            <a:ext cx="107527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41952-1EEF-42FB-8971-3A7FB9ABF1E4}" type="TxLink">
              <a:rPr lang="en-US" sz="1050" b="0" i="0" u="none" strike="noStrike">
                <a:solidFill>
                  <a:srgbClr val="172144"/>
                </a:solidFill>
                <a:latin typeface="Calibri"/>
                <a:cs typeface="Calibri"/>
              </a:rPr>
              <a:pPr/>
              <a:t>(0 this year)</a:t>
            </a:fld>
            <a:endParaRPr lang="en-DE" sz="1100" b="1"/>
          </a:p>
        </xdr:txBody>
      </xdr:sp>
    </xdr:grpSp>
    <xdr:clientData/>
  </xdr:twoCellAnchor>
  <xdr:twoCellAnchor editAs="absolute">
    <xdr:from>
      <xdr:col>6</xdr:col>
      <xdr:colOff>931334</xdr:colOff>
      <xdr:row>4</xdr:row>
      <xdr:rowOff>67732</xdr:rowOff>
    </xdr:from>
    <xdr:to>
      <xdr:col>8</xdr:col>
      <xdr:colOff>1202268</xdr:colOff>
      <xdr:row>8</xdr:row>
      <xdr:rowOff>145626</xdr:rowOff>
    </xdr:to>
    <xdr:grpSp>
      <xdr:nvGrpSpPr>
        <xdr:cNvPr id="20" name="Group 19">
          <a:extLst>
            <a:ext uri="{FF2B5EF4-FFF2-40B4-BE49-F238E27FC236}">
              <a16:creationId xmlns:a16="http://schemas.microsoft.com/office/drawing/2014/main" id="{00000000-0008-0000-0300-000014000000}"/>
            </a:ext>
          </a:extLst>
        </xdr:cNvPr>
        <xdr:cNvGrpSpPr/>
      </xdr:nvGrpSpPr>
      <xdr:grpSpPr>
        <a:xfrm>
          <a:off x="6705466" y="779744"/>
          <a:ext cx="3450606" cy="838676"/>
          <a:chOff x="6510866" y="795867"/>
          <a:chExt cx="3352801" cy="822960"/>
        </a:xfrm>
      </xdr:grpSpPr>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6510866" y="795867"/>
            <a:ext cx="3352801"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6553201" y="905936"/>
            <a:ext cx="15070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Tracking Balance</a:t>
            </a:r>
            <a:endParaRPr lang="en-DE" sz="1100" b="1"/>
          </a:p>
        </xdr:txBody>
      </xdr:sp>
      <xdr:sp macro="" textlink="Calculations!E13">
        <xdr:nvSpPr>
          <xdr:cNvPr id="15" name="TextBox 14">
            <a:extLst>
              <a:ext uri="{FF2B5EF4-FFF2-40B4-BE49-F238E27FC236}">
                <a16:creationId xmlns:a16="http://schemas.microsoft.com/office/drawing/2014/main" id="{00000000-0008-0000-0300-00000F000000}"/>
              </a:ext>
            </a:extLst>
          </xdr:cNvPr>
          <xdr:cNvSpPr txBox="1"/>
        </xdr:nvSpPr>
        <xdr:spPr>
          <a:xfrm>
            <a:off x="6553203" y="1185336"/>
            <a:ext cx="70273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FDBDF5-0DF8-4DF3-8267-1442496A93AF}" type="TxLink">
              <a:rPr lang="en-US" sz="1200" b="1" i="0" u="none" strike="noStrike">
                <a:solidFill>
                  <a:srgbClr val="172144"/>
                </a:solidFill>
                <a:latin typeface="Calibri"/>
                <a:cs typeface="Calibri"/>
              </a:rPr>
              <a:pPr/>
              <a:t> - </a:t>
            </a:fld>
            <a:endParaRPr lang="en-DE" sz="1800" b="1"/>
          </a:p>
        </xdr:txBody>
      </xdr:sp>
      <xdr:sp macro="" textlink="Calculations!E14">
        <xdr:nvSpPr>
          <xdr:cNvPr id="16" name="TextBox 15">
            <a:extLst>
              <a:ext uri="{FF2B5EF4-FFF2-40B4-BE49-F238E27FC236}">
                <a16:creationId xmlns:a16="http://schemas.microsoft.com/office/drawing/2014/main" id="{00000000-0008-0000-0300-000010000000}"/>
              </a:ext>
            </a:extLst>
          </xdr:cNvPr>
          <xdr:cNvSpPr txBox="1"/>
        </xdr:nvSpPr>
        <xdr:spPr>
          <a:xfrm>
            <a:off x="7095065" y="1202270"/>
            <a:ext cx="263313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B6B632-4DFB-4644-BF18-AA1EC7F138C0}" type="TxLink">
              <a:rPr lang="en-US" sz="1050" b="0" i="0" u="none" strike="noStrike">
                <a:solidFill>
                  <a:srgbClr val="172144"/>
                </a:solidFill>
                <a:latin typeface="Calibri"/>
                <a:cs typeface="Calibri"/>
              </a:rPr>
              <a:pPr/>
              <a:t>of tracked income left to be allocated</a:t>
            </a:fld>
            <a:endParaRPr lang="en-DE" sz="1050" b="1"/>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160867</xdr:colOff>
      <xdr:row>12</xdr:row>
      <xdr:rowOff>127000</xdr:rowOff>
    </xdr:from>
    <xdr:to>
      <xdr:col>34</xdr:col>
      <xdr:colOff>270934</xdr:colOff>
      <xdr:row>14</xdr:row>
      <xdr:rowOff>50800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307667" y="2336800"/>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lumMod val="75000"/>
                </a:schemeClr>
              </a:solidFill>
            </a:rPr>
            <a:t>Income</a:t>
          </a:r>
          <a:r>
            <a:rPr lang="en-US" sz="1100" b="1"/>
            <a:t> Categories (Tracked)</a:t>
          </a:r>
          <a:endParaRPr lang="en-DE" sz="1100" b="1"/>
        </a:p>
      </xdr:txBody>
    </xdr:sp>
    <xdr:clientData/>
  </xdr:twoCellAnchor>
  <xdr:twoCellAnchor editAs="oneCell">
    <xdr:from>
      <xdr:col>31</xdr:col>
      <xdr:colOff>177790</xdr:colOff>
      <xdr:row>14</xdr:row>
      <xdr:rowOff>50800</xdr:rowOff>
    </xdr:from>
    <xdr:to>
      <xdr:col>32</xdr:col>
      <xdr:colOff>745057</xdr:colOff>
      <xdr:row>22</xdr:row>
      <xdr:rowOff>160866</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160867</xdr:colOff>
      <xdr:row>25</xdr:row>
      <xdr:rowOff>127000</xdr:rowOff>
    </xdr:from>
    <xdr:ext cx="2302934" cy="296333"/>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6307667" y="2336800"/>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solidFill>
            </a:rPr>
            <a:t>Expenses</a:t>
          </a:r>
          <a:r>
            <a:rPr lang="en-US" sz="1100" b="1"/>
            <a:t> Categories (Tracked)</a:t>
          </a:r>
          <a:endParaRPr lang="en-DE" sz="1100" b="1"/>
        </a:p>
      </xdr:txBody>
    </xdr:sp>
    <xdr:clientData/>
  </xdr:oneCellAnchor>
  <xdr:oneCellAnchor>
    <xdr:from>
      <xdr:col>31</xdr:col>
      <xdr:colOff>177790</xdr:colOff>
      <xdr:row>27</xdr:row>
      <xdr:rowOff>50800</xdr:rowOff>
    </xdr:from>
    <xdr:ext cx="1600200" cy="1600200"/>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160867</xdr:colOff>
      <xdr:row>25</xdr:row>
      <xdr:rowOff>127000</xdr:rowOff>
    </xdr:from>
    <xdr:ext cx="2302934" cy="296333"/>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0845800" y="4758267"/>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5"/>
              </a:solidFill>
            </a:rPr>
            <a:t>Savings</a:t>
          </a:r>
          <a:r>
            <a:rPr lang="en-US" sz="1100" b="1"/>
            <a:t> Categories (Tracked)</a:t>
          </a:r>
          <a:endParaRPr lang="en-DE" sz="1100" b="1"/>
        </a:p>
      </xdr:txBody>
    </xdr:sp>
    <xdr:clientData/>
  </xdr:oneCellAnchor>
  <xdr:oneCellAnchor>
    <xdr:from>
      <xdr:col>38</xdr:col>
      <xdr:colOff>177790</xdr:colOff>
      <xdr:row>27</xdr:row>
      <xdr:rowOff>50800</xdr:rowOff>
    </xdr:from>
    <xdr:ext cx="1600200" cy="1600200"/>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160867</xdr:colOff>
      <xdr:row>12</xdr:row>
      <xdr:rowOff>127000</xdr:rowOff>
    </xdr:from>
    <xdr:to>
      <xdr:col>41</xdr:col>
      <xdr:colOff>270934</xdr:colOff>
      <xdr:row>14</xdr:row>
      <xdr:rowOff>50800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0845800" y="2336800"/>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Tracked</a:t>
          </a:r>
          <a:r>
            <a:rPr lang="en-US" sz="1100" b="1" baseline="0"/>
            <a:t> (vs. Budget)</a:t>
          </a:r>
          <a:endParaRPr lang="en-DE" sz="1100" b="1"/>
        </a:p>
      </xdr:txBody>
    </xdr:sp>
    <xdr:clientData/>
  </xdr:twoCellAnchor>
  <xdr:twoCellAnchor>
    <xdr:from>
      <xdr:col>38</xdr:col>
      <xdr:colOff>169332</xdr:colOff>
      <xdr:row>15</xdr:row>
      <xdr:rowOff>8466</xdr:rowOff>
    </xdr:from>
    <xdr:to>
      <xdr:col>43</xdr:col>
      <xdr:colOff>340358</xdr:colOff>
      <xdr:row>23</xdr:row>
      <xdr:rowOff>164253</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42</xdr:col>
          <xdr:colOff>83820</xdr:colOff>
          <xdr:row>12</xdr:row>
          <xdr:rowOff>106680</xdr:rowOff>
        </xdr:from>
        <xdr:to>
          <xdr:col>43</xdr:col>
          <xdr:colOff>228600</xdr:colOff>
          <xdr:row>13</xdr:row>
          <xdr:rowOff>106680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4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83820</xdr:colOff>
          <xdr:row>13</xdr:row>
          <xdr:rowOff>68580</xdr:rowOff>
        </xdr:from>
        <xdr:to>
          <xdr:col>43</xdr:col>
          <xdr:colOff>228600</xdr:colOff>
          <xdr:row>14</xdr:row>
          <xdr:rowOff>60960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4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83820</xdr:colOff>
          <xdr:row>14</xdr:row>
          <xdr:rowOff>22860</xdr:rowOff>
        </xdr:from>
        <xdr:to>
          <xdr:col>43</xdr:col>
          <xdr:colOff>228600</xdr:colOff>
          <xdr:row>15</xdr:row>
          <xdr:rowOff>22860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4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487680</xdr:colOff>
          <xdr:row>12</xdr:row>
          <xdr:rowOff>106680</xdr:rowOff>
        </xdr:from>
        <xdr:to>
          <xdr:col>42</xdr:col>
          <xdr:colOff>144780</xdr:colOff>
          <xdr:row>13</xdr:row>
          <xdr:rowOff>106680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4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Budget</a:t>
              </a:r>
            </a:p>
          </xdr:txBody>
        </xdr:sp>
        <xdr:clientData/>
      </xdr:twoCellAnchor>
    </mc:Choice>
    <mc:Fallback/>
  </mc:AlternateContent>
  <xdr:twoCellAnchor>
    <xdr:from>
      <xdr:col>41</xdr:col>
      <xdr:colOff>414867</xdr:colOff>
      <xdr:row>12</xdr:row>
      <xdr:rowOff>93132</xdr:rowOff>
    </xdr:from>
    <xdr:to>
      <xdr:col>43</xdr:col>
      <xdr:colOff>218440</xdr:colOff>
      <xdr:row>15</xdr:row>
      <xdr:rowOff>37252</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13292667" y="2302932"/>
          <a:ext cx="1463040" cy="502920"/>
        </a:xfrm>
        <a:prstGeom prst="rect">
          <a:avLst/>
        </a:prstGeom>
        <a:no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editAs="oneCell">
    <xdr:from>
      <xdr:col>24</xdr:col>
      <xdr:colOff>15240</xdr:colOff>
      <xdr:row>4</xdr:row>
      <xdr:rowOff>67734</xdr:rowOff>
    </xdr:from>
    <xdr:to>
      <xdr:col>26</xdr:col>
      <xdr:colOff>120565</xdr:colOff>
      <xdr:row>8</xdr:row>
      <xdr:rowOff>145628</xdr:rowOff>
    </xdr:to>
    <xdr:grpSp>
      <xdr:nvGrpSpPr>
        <xdr:cNvPr id="12" name="Group 11">
          <a:extLst>
            <a:ext uri="{FF2B5EF4-FFF2-40B4-BE49-F238E27FC236}">
              <a16:creationId xmlns:a16="http://schemas.microsoft.com/office/drawing/2014/main" id="{00000000-0008-0000-0400-00000C000000}"/>
            </a:ext>
          </a:extLst>
        </xdr:cNvPr>
        <xdr:cNvGrpSpPr/>
      </xdr:nvGrpSpPr>
      <xdr:grpSpPr>
        <a:xfrm>
          <a:off x="605332" y="779746"/>
          <a:ext cx="2768059" cy="838676"/>
          <a:chOff x="575733" y="787401"/>
          <a:chExt cx="2679192" cy="822960"/>
        </a:xfrm>
      </xdr:grpSpPr>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575733" y="787401"/>
            <a:ext cx="2679192"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626535" y="897470"/>
            <a:ext cx="16594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Selected Year &amp; Period</a:t>
            </a:r>
            <a:endParaRPr lang="en-DE" sz="1100" b="1"/>
          </a:p>
        </xdr:txBody>
      </xdr:sp>
      <xdr:sp macro="" textlink="selected_year">
        <xdr:nvSpPr>
          <xdr:cNvPr id="11" name="Rectangle: Rounded Corners 10">
            <a:extLst>
              <a:ext uri="{FF2B5EF4-FFF2-40B4-BE49-F238E27FC236}">
                <a16:creationId xmlns:a16="http://schemas.microsoft.com/office/drawing/2014/main" id="{00000000-0008-0000-0400-00000B000000}"/>
              </a:ext>
            </a:extLst>
          </xdr:cNvPr>
          <xdr:cNvSpPr/>
        </xdr:nvSpPr>
        <xdr:spPr>
          <a:xfrm>
            <a:off x="728135" y="1244601"/>
            <a:ext cx="640080" cy="228600"/>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5EB22F-0768-4D57-BAE0-E64FF905D08B}" type="TxLink">
              <a:rPr lang="en-US" sz="1000" b="1" i="0" u="none" strike="noStrike">
                <a:solidFill>
                  <a:srgbClr val="172144"/>
                </a:solidFill>
                <a:latin typeface="Calibri"/>
                <a:cs typeface="Calibri"/>
              </a:rPr>
              <a:pPr algn="ctr"/>
              <a:t>2025</a:t>
            </a:fld>
            <a:endParaRPr lang="en-DE" sz="1000" b="1"/>
          </a:p>
        </xdr:txBody>
      </xdr:sp>
      <xdr:sp macro="" textlink="selected_period_display">
        <xdr:nvSpPr>
          <xdr:cNvPr id="20" name="Rectangle: Rounded Corners 19">
            <a:extLst>
              <a:ext uri="{FF2B5EF4-FFF2-40B4-BE49-F238E27FC236}">
                <a16:creationId xmlns:a16="http://schemas.microsoft.com/office/drawing/2014/main" id="{00000000-0008-0000-0400-000014000000}"/>
              </a:ext>
            </a:extLst>
          </xdr:cNvPr>
          <xdr:cNvSpPr/>
        </xdr:nvSpPr>
        <xdr:spPr>
          <a:xfrm>
            <a:off x="1498602" y="1244601"/>
            <a:ext cx="914400" cy="228600"/>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D416C79-6C27-494F-8BB5-B5EBEF3B3970}" type="TxLink">
              <a:rPr lang="en-US" sz="1000" b="1" i="0" u="none" strike="noStrike">
                <a:solidFill>
                  <a:srgbClr val="172144"/>
                </a:solidFill>
                <a:latin typeface="Calibri"/>
                <a:cs typeface="Calibri"/>
              </a:rPr>
              <a:pPr algn="ctr"/>
              <a:t>February</a:t>
            </a:fld>
            <a:endParaRPr lang="en-DE" sz="800" b="1"/>
          </a:p>
        </xdr:txBody>
      </xdr:sp>
    </xdr:grpSp>
    <xdr:clientData/>
  </xdr:twoCellAnchor>
  <xdr:twoCellAnchor editAs="oneCell">
    <xdr:from>
      <xdr:col>26</xdr:col>
      <xdr:colOff>423336</xdr:colOff>
      <xdr:row>4</xdr:row>
      <xdr:rowOff>67734</xdr:rowOff>
    </xdr:from>
    <xdr:to>
      <xdr:col>28</xdr:col>
      <xdr:colOff>325123</xdr:colOff>
      <xdr:row>8</xdr:row>
      <xdr:rowOff>145628</xdr:rowOff>
    </xdr:to>
    <xdr:grpSp>
      <xdr:nvGrpSpPr>
        <xdr:cNvPr id="13" name="Group 12">
          <a:extLst>
            <a:ext uri="{FF2B5EF4-FFF2-40B4-BE49-F238E27FC236}">
              <a16:creationId xmlns:a16="http://schemas.microsoft.com/office/drawing/2014/main" id="{00000000-0008-0000-0400-00000D000000}"/>
            </a:ext>
          </a:extLst>
        </xdr:cNvPr>
        <xdr:cNvGrpSpPr/>
      </xdr:nvGrpSpPr>
      <xdr:grpSpPr>
        <a:xfrm>
          <a:off x="3676162" y="779746"/>
          <a:ext cx="1228277" cy="838676"/>
          <a:chOff x="3513667" y="787401"/>
          <a:chExt cx="1188720" cy="822960"/>
        </a:xfrm>
      </xdr:grpSpPr>
      <xdr:sp macro="" textlink="">
        <xdr:nvSpPr>
          <xdr:cNvPr id="22" name="Rectangle: Rounded Corners 21">
            <a:extLst>
              <a:ext uri="{FF2B5EF4-FFF2-40B4-BE49-F238E27FC236}">
                <a16:creationId xmlns:a16="http://schemas.microsoft.com/office/drawing/2014/main" id="{00000000-0008-0000-0400-000016000000}"/>
              </a:ext>
            </a:extLst>
          </xdr:cNvPr>
          <xdr:cNvSpPr/>
        </xdr:nvSpPr>
        <xdr:spPr>
          <a:xfrm>
            <a:off x="3513667" y="787401"/>
            <a:ext cx="1188720"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3556002" y="897470"/>
            <a:ext cx="10752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Period</a:t>
            </a:r>
            <a:r>
              <a:rPr lang="en-US" sz="1100" b="1" baseline="0"/>
              <a:t> Compl.</a:t>
            </a:r>
            <a:endParaRPr lang="en-DE" sz="1100" b="1"/>
          </a:p>
        </xdr:txBody>
      </xdr:sp>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3627967" y="1083731"/>
          <a:ext cx="960120" cy="475488"/>
        </xdr:xfrm>
        <a:graphic>
          <a:graphicData uri="http://schemas.openxmlformats.org/drawingml/2006/chart">
            <c:chart xmlns:c="http://schemas.openxmlformats.org/drawingml/2006/chart" xmlns:r="http://schemas.openxmlformats.org/officeDocument/2006/relationships" r:id="rId5"/>
          </a:graphicData>
        </a:graphic>
      </xdr:graphicFrame>
      <xdr:sp macro="" textlink="Calculations!E24">
        <xdr:nvSpPr>
          <xdr:cNvPr id="24" name="TextBox 23">
            <a:extLst>
              <a:ext uri="{FF2B5EF4-FFF2-40B4-BE49-F238E27FC236}">
                <a16:creationId xmlns:a16="http://schemas.microsoft.com/office/drawing/2014/main" id="{00000000-0008-0000-0400-000018000000}"/>
              </a:ext>
            </a:extLst>
          </xdr:cNvPr>
          <xdr:cNvSpPr txBox="1"/>
        </xdr:nvSpPr>
        <xdr:spPr>
          <a:xfrm>
            <a:off x="3794762" y="1176870"/>
            <a:ext cx="62653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650AA3-E49A-4C7A-BBA7-3F3E523F56F2}" type="TxLink">
              <a:rPr lang="en-US" sz="1200" b="1" i="0" u="none" strike="noStrike">
                <a:solidFill>
                  <a:srgbClr val="172144"/>
                </a:solidFill>
                <a:latin typeface="Calibri"/>
                <a:cs typeface="Calibri"/>
              </a:rPr>
              <a:pPr algn="ctr"/>
              <a:t>43%</a:t>
            </a:fld>
            <a:endParaRPr lang="en-DE" sz="1400" b="1"/>
          </a:p>
        </xdr:txBody>
      </xdr:sp>
    </xdr:grpSp>
    <xdr:clientData/>
  </xdr:twoCellAnchor>
  <xdr:twoCellAnchor editAs="oneCell">
    <xdr:from>
      <xdr:col>28</xdr:col>
      <xdr:colOff>634999</xdr:colOff>
      <xdr:row>4</xdr:row>
      <xdr:rowOff>67734</xdr:rowOff>
    </xdr:from>
    <xdr:to>
      <xdr:col>32</xdr:col>
      <xdr:colOff>982132</xdr:colOff>
      <xdr:row>8</xdr:row>
      <xdr:rowOff>145628</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5214315" y="779746"/>
          <a:ext cx="3185429" cy="838676"/>
          <a:chOff x="6510866" y="795867"/>
          <a:chExt cx="3090333" cy="822960"/>
        </a:xfrm>
      </xdr:grpSpPr>
      <xdr:sp macro="" textlink="">
        <xdr:nvSpPr>
          <xdr:cNvPr id="27" name="Rectangle: Rounded Corners 26">
            <a:extLst>
              <a:ext uri="{FF2B5EF4-FFF2-40B4-BE49-F238E27FC236}">
                <a16:creationId xmlns:a16="http://schemas.microsoft.com/office/drawing/2014/main" id="{00000000-0008-0000-0400-00001B000000}"/>
              </a:ext>
            </a:extLst>
          </xdr:cNvPr>
          <xdr:cNvSpPr/>
        </xdr:nvSpPr>
        <xdr:spPr>
          <a:xfrm>
            <a:off x="6510866" y="795867"/>
            <a:ext cx="3090333"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6553201" y="905936"/>
            <a:ext cx="18626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Period Tracking Balance</a:t>
            </a:r>
            <a:endParaRPr lang="en-DE" sz="1100" b="1"/>
          </a:p>
        </xdr:txBody>
      </xdr:sp>
      <xdr:sp macro="" textlink="Calculations!E25">
        <xdr:nvSpPr>
          <xdr:cNvPr id="29" name="TextBox 28">
            <a:extLst>
              <a:ext uri="{FF2B5EF4-FFF2-40B4-BE49-F238E27FC236}">
                <a16:creationId xmlns:a16="http://schemas.microsoft.com/office/drawing/2014/main" id="{00000000-0008-0000-0400-00001D000000}"/>
              </a:ext>
            </a:extLst>
          </xdr:cNvPr>
          <xdr:cNvSpPr txBox="1"/>
        </xdr:nvSpPr>
        <xdr:spPr>
          <a:xfrm>
            <a:off x="6553203" y="1185336"/>
            <a:ext cx="70273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8C479A-FC16-4959-98AA-46629DC41EDC}" type="TxLink">
              <a:rPr lang="en-US" sz="1200" b="1" i="0" u="none" strike="noStrike">
                <a:solidFill>
                  <a:srgbClr val="172144"/>
                </a:solidFill>
                <a:latin typeface="Calibri"/>
                <a:cs typeface="Calibri"/>
              </a:rPr>
              <a:pPr/>
              <a:t> -   </a:t>
            </a:fld>
            <a:endParaRPr lang="en-DE" sz="2000" b="1"/>
          </a:p>
        </xdr:txBody>
      </xdr:sp>
      <xdr:sp macro="" textlink="Calculations!E26">
        <xdr:nvSpPr>
          <xdr:cNvPr id="30" name="TextBox 29">
            <a:extLst>
              <a:ext uri="{FF2B5EF4-FFF2-40B4-BE49-F238E27FC236}">
                <a16:creationId xmlns:a16="http://schemas.microsoft.com/office/drawing/2014/main" id="{00000000-0008-0000-0400-00001E000000}"/>
              </a:ext>
            </a:extLst>
          </xdr:cNvPr>
          <xdr:cNvSpPr txBox="1"/>
        </xdr:nvSpPr>
        <xdr:spPr>
          <a:xfrm>
            <a:off x="7095065" y="1202270"/>
            <a:ext cx="239606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1D5AC7-1C18-45C0-90F7-347F43CF8238}" type="TxLink">
              <a:rPr lang="en-US" sz="1050" b="0" i="0" u="none" strike="noStrike">
                <a:solidFill>
                  <a:srgbClr val="172144"/>
                </a:solidFill>
                <a:latin typeface="Calibri"/>
                <a:cs typeface="Calibri"/>
              </a:rPr>
              <a:pPr/>
              <a:t>of tracked income left to be allocated</a:t>
            </a:fld>
            <a:endParaRPr lang="en-DE" sz="1000" b="1"/>
          </a:p>
        </xdr:txBody>
      </xdr:sp>
    </xdr:grpSp>
    <xdr:clientData/>
  </xdr:twoCellAnchor>
  <xdr:twoCellAnchor editAs="oneCell">
    <xdr:from>
      <xdr:col>34</xdr:col>
      <xdr:colOff>143933</xdr:colOff>
      <xdr:row>4</xdr:row>
      <xdr:rowOff>67734</xdr:rowOff>
    </xdr:from>
    <xdr:to>
      <xdr:col>38</xdr:col>
      <xdr:colOff>558801</xdr:colOff>
      <xdr:row>8</xdr:row>
      <xdr:rowOff>145628</xdr:rowOff>
    </xdr:to>
    <xdr:grpSp>
      <xdr:nvGrpSpPr>
        <xdr:cNvPr id="14" name="Group 13">
          <a:extLst>
            <a:ext uri="{FF2B5EF4-FFF2-40B4-BE49-F238E27FC236}">
              <a16:creationId xmlns:a16="http://schemas.microsoft.com/office/drawing/2014/main" id="{00000000-0008-0000-0400-00000E000000}"/>
            </a:ext>
          </a:extLst>
        </xdr:cNvPr>
        <xdr:cNvGrpSpPr/>
      </xdr:nvGrpSpPr>
      <xdr:grpSpPr>
        <a:xfrm>
          <a:off x="8766115" y="779746"/>
          <a:ext cx="2838638" cy="838676"/>
          <a:chOff x="8483600" y="787401"/>
          <a:chExt cx="2760134" cy="822960"/>
        </a:xfrm>
      </xdr:grpSpPr>
      <xdr:sp macro="" textlink="">
        <xdr:nvSpPr>
          <xdr:cNvPr id="32" name="Rectangle: Rounded Corners 31">
            <a:extLst>
              <a:ext uri="{FF2B5EF4-FFF2-40B4-BE49-F238E27FC236}">
                <a16:creationId xmlns:a16="http://schemas.microsoft.com/office/drawing/2014/main" id="{00000000-0008-0000-0400-000020000000}"/>
              </a:ext>
            </a:extLst>
          </xdr:cNvPr>
          <xdr:cNvSpPr/>
        </xdr:nvSpPr>
        <xdr:spPr>
          <a:xfrm>
            <a:off x="8483600" y="787401"/>
            <a:ext cx="2760134"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8525934" y="897470"/>
            <a:ext cx="18626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Period Savings Rate</a:t>
            </a:r>
            <a:endParaRPr lang="en-DE" sz="1100" b="1"/>
          </a:p>
        </xdr:txBody>
      </xdr:sp>
      <xdr:sp macro="" textlink="Calculations!E27">
        <xdr:nvSpPr>
          <xdr:cNvPr id="34" name="TextBox 33">
            <a:extLst>
              <a:ext uri="{FF2B5EF4-FFF2-40B4-BE49-F238E27FC236}">
                <a16:creationId xmlns:a16="http://schemas.microsoft.com/office/drawing/2014/main" id="{00000000-0008-0000-0400-000022000000}"/>
              </a:ext>
            </a:extLst>
          </xdr:cNvPr>
          <xdr:cNvSpPr txBox="1"/>
        </xdr:nvSpPr>
        <xdr:spPr>
          <a:xfrm>
            <a:off x="9389534" y="1176870"/>
            <a:ext cx="6434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365556-4D66-47FB-8119-3C262E040B9A}" type="TxLink">
              <a:rPr lang="en-US" sz="1200" b="1" i="0" u="none" strike="noStrike">
                <a:solidFill>
                  <a:schemeClr val="accent5"/>
                </a:solidFill>
                <a:latin typeface="Calibri"/>
                <a:cs typeface="Calibri"/>
              </a:rPr>
              <a:pPr algn="ctr"/>
              <a:t>-</a:t>
            </a:fld>
            <a:endParaRPr lang="en-DE" sz="2400" b="1">
              <a:solidFill>
                <a:schemeClr val="accent5"/>
              </a:solidFill>
            </a:endParaRPr>
          </a:p>
        </xdr:txBody>
      </xdr:sp>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8525932" y="1193804"/>
            <a:ext cx="99060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You are saving</a:t>
            </a:r>
          </a:p>
        </xdr:txBody>
      </xdr:sp>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9931396" y="1193804"/>
            <a:ext cx="115993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of your income</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FBF21-F8EC-496E-A11E-62A1ADB0374A}" name="Income" displayName="Income" ref="C9:C10" totalsRowShown="0" headerRowDxfId="52" dataDxfId="51">
  <autoFilter ref="C9:C10" xr:uid="{CE2FBF21-F8EC-496E-A11E-62A1ADB0374A}">
    <filterColumn colId="0" hiddenButton="1"/>
  </autoFilter>
  <tableColumns count="1">
    <tableColumn id="1" xr3:uid="{52CC3A55-522E-4312-82C8-AC12CDF5AA16}" name="Income" dataDxfId="50"/>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DB77A-3FAE-4367-925D-0BBC552B6563}" name="Expenses" displayName="Expenses" ref="C22:C23" totalsRowShown="0" headerRowDxfId="49" dataDxfId="48">
  <autoFilter ref="C22:C23" xr:uid="{BC1DB77A-3FAE-4367-925D-0BBC552B6563}">
    <filterColumn colId="0" hiddenButton="1"/>
  </autoFilter>
  <tableColumns count="1">
    <tableColumn id="1" xr3:uid="{FAEA0E6E-2266-4619-ABF7-26F8940A6379}" name="Expenses" dataDxfId="47"/>
  </tableColumns>
  <tableStyleInfo name="Expenses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5C6114-F69A-43ED-AA64-A5604E059468}" name="Savings" displayName="Savings" ref="C60:C61" totalsRowShown="0" headerRowDxfId="46" dataDxfId="45">
  <autoFilter ref="C60:C61" xr:uid="{5B5C6114-F69A-43ED-AA64-A5604E059468}">
    <filterColumn colId="0" hiddenButton="1"/>
  </autoFilter>
  <tableColumns count="1">
    <tableColumn id="1" xr3:uid="{A0995732-B4F3-4E81-88CA-663C1A1BAA0A}" name="Savings" dataDxfId="44"/>
  </tableColumns>
  <tableStyleInfo name="Savings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1F74EA-BD04-44EF-9859-B2A0CE3176CF}" name="Tracking" displayName="Tracking" ref="C11:I12" totalsRowShown="0" headerRowDxfId="43" dataDxfId="42">
  <autoFilter ref="C11:I12" xr:uid="{8A1F74EA-BD04-44EF-9859-B2A0CE3176CF}"/>
  <sortState xmlns:xlrd2="http://schemas.microsoft.com/office/spreadsheetml/2017/richdata2" ref="C12:I12">
    <sortCondition ref="I11:I12"/>
  </sortState>
  <tableColumns count="7">
    <tableColumn id="1" xr3:uid="{FC7E4689-B277-425A-B411-578B55917B07}" name="Date" dataDxfId="41"/>
    <tableColumn id="2" xr3:uid="{818881F5-979B-487A-9EFC-39D612A07CA4}" name="Type" dataDxfId="40"/>
    <tableColumn id="3" xr3:uid="{EF8B57E5-D65B-44C3-A9A8-D6F47A3030AA}" name="Category" dataDxfId="39"/>
    <tableColumn id="4" xr3:uid="{4E8B306B-6887-4D58-9DD4-A24546742E4A}" name="Amount" dataDxfId="38" dataCellStyle="Comma"/>
    <tableColumn id="5" xr3:uid="{FF4E4157-298A-4B25-92F1-30181F853D12}" name="Details" dataDxfId="37"/>
    <tableColumn id="6" xr3:uid="{0092602C-796C-43F6-BB31-2674DEF2A273}" name="Balance" dataDxfId="36" dataCellStyle="Comma">
      <calculatedColumnFormula array="1">IFERROR(SUMPRODUCT(Tracking[Amount], --(Tracking[Date]&lt;=Tracking[[#This Row],[Date]]), (Tracking[Type]&lt;&gt;"Income") * (-1) + (Tracking[Type]="Income")), "-")</calculatedColumnFormula>
    </tableColumn>
    <tableColumn id="7" xr3:uid="{35E51804-74F7-43B7-8DA1-0F299FFADCBF}" name="Effective Date" dataDxfId="35">
      <calculatedColumnFormula>IF(AND(Tracking[[#This Row],[Type]]="Income", shift_late_income_status="Active", DAY(Tracking[[#This Row],[Date]])&gt;=shift_late_income_starting_day),
      DATE(YEAR(Tracking[[#This Row],[Date]]), MONTH(Tracking[[#This Row],[Date]])+1, 1),
      Tracking[[#This Row],[Date]])</calculatedColumnFormula>
    </tableColumn>
  </tableColumns>
  <tableStyleInfo name="Tracking Table Style" showFirstColumn="0" showLastColumn="0" showRowStripes="1" showColumnStripes="0"/>
</table>
</file>

<file path=xl/theme/theme1.xml><?xml version="1.0" encoding="utf-8"?>
<a:theme xmlns:a="http://schemas.openxmlformats.org/drawingml/2006/main" name="Office Theme">
  <a:themeElements>
    <a:clrScheme name="Nova">
      <a:dk1>
        <a:srgbClr val="172144"/>
      </a:dk1>
      <a:lt1>
        <a:srgbClr val="FFFFFF"/>
      </a:lt1>
      <a:dk2>
        <a:srgbClr val="F0E936"/>
      </a:dk2>
      <a:lt2>
        <a:srgbClr val="40D492"/>
      </a:lt2>
      <a:accent1>
        <a:srgbClr val="F9B710"/>
      </a:accent1>
      <a:accent2>
        <a:srgbClr val="FE1684"/>
      </a:accent2>
      <a:accent3>
        <a:srgbClr val="9237BC"/>
      </a:accent3>
      <a:accent4>
        <a:srgbClr val="4633F2"/>
      </a:accent4>
      <a:accent5>
        <a:srgbClr val="3285F3"/>
      </a:accent5>
      <a:accent6>
        <a:srgbClr val="1DD7F3"/>
      </a:accent6>
      <a:hlink>
        <a:srgbClr val="2F8299"/>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table" Target="../tables/table2.xml" /><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drawing" Target="../drawings/drawing1.xml" /></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 /><Relationship Id="rId7" Type="http://schemas.openxmlformats.org/officeDocument/2006/relationships/ctrlProp" Target="../ctrlProps/ctrlProp4.xml" /><Relationship Id="rId2" Type="http://schemas.openxmlformats.org/officeDocument/2006/relationships/drawing" Target="../drawings/drawing2.xml" /><Relationship Id="rId1" Type="http://schemas.openxmlformats.org/officeDocument/2006/relationships/printerSettings" Target="../printerSettings/printerSettings1.bin" /><Relationship Id="rId6" Type="http://schemas.openxmlformats.org/officeDocument/2006/relationships/ctrlProp" Target="../ctrlProps/ctrlProp3.xml" /><Relationship Id="rId5" Type="http://schemas.openxmlformats.org/officeDocument/2006/relationships/ctrlProp" Target="../ctrlProps/ctrlProp2.xml" /><Relationship Id="rId4" Type="http://schemas.openxmlformats.org/officeDocument/2006/relationships/ctrlProp" Target="../ctrlProps/ctrlProp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9215-7AC0-4352-9B28-4B04D862AB8E}">
  <dimension ref="B1:H25"/>
  <sheetViews>
    <sheetView showGridLines="0" zoomScaleNormal="100" workbookViewId="0">
      <selection activeCell="E8" sqref="E8"/>
    </sheetView>
  </sheetViews>
  <sheetFormatPr defaultRowHeight="15" x14ac:dyDescent="0.2"/>
  <cols>
    <col min="1" max="1" width="5.51171875" customWidth="1"/>
    <col min="2" max="2" width="2.82421875" customWidth="1"/>
    <col min="3" max="3" width="2.15234375" customWidth="1"/>
    <col min="4" max="4" width="30.265625" customWidth="1"/>
    <col min="5" max="5" width="24.75" customWidth="1"/>
    <col min="6" max="6" width="1.8828125" customWidth="1"/>
    <col min="7" max="7" width="81.7890625" customWidth="1"/>
    <col min="8" max="8" width="2.15234375" customWidth="1"/>
  </cols>
  <sheetData>
    <row r="1" spans="2:8" s="1" customFormat="1" ht="7.15" customHeight="1" x14ac:dyDescent="0.2"/>
    <row r="2" spans="2:8" s="1" customFormat="1" ht="27.6" customHeight="1" x14ac:dyDescent="0.35">
      <c r="B2" s="2" t="s">
        <v>0</v>
      </c>
    </row>
    <row r="3" spans="2:8" s="1" customFormat="1" ht="7.15" customHeight="1" x14ac:dyDescent="0.2"/>
    <row r="6" spans="2:8" x14ac:dyDescent="0.2">
      <c r="C6" s="86" t="s">
        <v>6</v>
      </c>
      <c r="D6" s="86"/>
      <c r="E6" s="86"/>
      <c r="F6" s="86"/>
      <c r="G6" s="86"/>
      <c r="H6" s="86"/>
    </row>
    <row r="7" spans="2:8" x14ac:dyDescent="0.2">
      <c r="C7" s="6"/>
      <c r="H7" s="7"/>
    </row>
    <row r="8" spans="2:8" x14ac:dyDescent="0.2">
      <c r="C8" s="6"/>
      <c r="D8" s="11" t="s">
        <v>7</v>
      </c>
      <c r="E8" s="12">
        <v>2022</v>
      </c>
      <c r="G8" s="13" t="s">
        <v>8</v>
      </c>
      <c r="H8" s="7"/>
    </row>
    <row r="9" spans="2:8" x14ac:dyDescent="0.2">
      <c r="C9" s="8"/>
      <c r="D9" s="9"/>
      <c r="E9" s="9"/>
      <c r="F9" s="9"/>
      <c r="G9" s="9"/>
      <c r="H9" s="10"/>
    </row>
    <row r="12" spans="2:8" x14ac:dyDescent="0.2">
      <c r="C12" s="86" t="s">
        <v>25</v>
      </c>
      <c r="D12" s="86"/>
      <c r="E12" s="86"/>
      <c r="F12" s="86"/>
      <c r="G12" s="86"/>
      <c r="H12" s="86"/>
    </row>
    <row r="13" spans="2:8" x14ac:dyDescent="0.2">
      <c r="C13" s="6"/>
      <c r="H13" s="7"/>
    </row>
    <row r="14" spans="2:8" x14ac:dyDescent="0.2">
      <c r="C14" s="6"/>
      <c r="D14" s="38" t="s">
        <v>26</v>
      </c>
      <c r="H14" s="7"/>
    </row>
    <row r="15" spans="2:8" x14ac:dyDescent="0.2">
      <c r="C15" s="6"/>
      <c r="H15" s="7"/>
    </row>
    <row r="16" spans="2:8" x14ac:dyDescent="0.2">
      <c r="C16" s="6"/>
      <c r="D16" s="15" t="s">
        <v>27</v>
      </c>
      <c r="E16" s="12" t="s">
        <v>101</v>
      </c>
      <c r="G16" s="87" t="s">
        <v>29</v>
      </c>
      <c r="H16" s="7"/>
    </row>
    <row r="17" spans="3:8" ht="6.6" customHeight="1" x14ac:dyDescent="0.2">
      <c r="C17" s="6"/>
      <c r="G17" s="87"/>
      <c r="H17" s="7"/>
    </row>
    <row r="18" spans="3:8" x14ac:dyDescent="0.2">
      <c r="C18" s="6"/>
      <c r="D18" s="15" t="s">
        <v>28</v>
      </c>
      <c r="E18" s="12">
        <v>20</v>
      </c>
      <c r="G18" s="87"/>
      <c r="H18" s="7"/>
    </row>
    <row r="19" spans="3:8" x14ac:dyDescent="0.2">
      <c r="C19" s="6"/>
      <c r="H19" s="7"/>
    </row>
    <row r="20" spans="3:8" x14ac:dyDescent="0.2">
      <c r="C20" s="6"/>
      <c r="D20" s="38" t="s">
        <v>97</v>
      </c>
      <c r="H20" s="7"/>
    </row>
    <row r="21" spans="3:8" x14ac:dyDescent="0.2">
      <c r="C21" s="6"/>
      <c r="H21" s="7"/>
    </row>
    <row r="22" spans="3:8" x14ac:dyDescent="0.2">
      <c r="C22" s="6"/>
      <c r="D22" s="15" t="s">
        <v>98</v>
      </c>
      <c r="E22" s="12" t="s">
        <v>99</v>
      </c>
      <c r="G22" s="87" t="s">
        <v>100</v>
      </c>
      <c r="H22" s="7"/>
    </row>
    <row r="23" spans="3:8" x14ac:dyDescent="0.2">
      <c r="C23" s="6"/>
      <c r="G23" s="88"/>
      <c r="H23" s="7"/>
    </row>
    <row r="24" spans="3:8" x14ac:dyDescent="0.2">
      <c r="C24" s="6"/>
      <c r="G24" s="88"/>
      <c r="H24" s="7"/>
    </row>
    <row r="25" spans="3:8" x14ac:dyDescent="0.2">
      <c r="C25" s="8"/>
      <c r="D25" s="9"/>
      <c r="E25" s="9"/>
      <c r="F25" s="9"/>
      <c r="G25" s="9"/>
      <c r="H25" s="10"/>
    </row>
  </sheetData>
  <mergeCells count="4">
    <mergeCell ref="C6:H6"/>
    <mergeCell ref="C12:H12"/>
    <mergeCell ref="G16:G18"/>
    <mergeCell ref="G22:G24"/>
  </mergeCells>
  <conditionalFormatting sqref="E18">
    <cfRule type="expression" dxfId="34" priority="1">
      <formula>shift_late_income_status="Inactive"</formula>
    </cfRule>
  </conditionalFormatting>
  <dataValidations count="2">
    <dataValidation type="list" allowBlank="1" showInputMessage="1" showErrorMessage="1" sqref="E16" xr:uid="{0E18D4F0-9A20-469B-B5BC-1709B6E5F8E5}">
      <formula1>"Active, Inactive"</formula1>
    </dataValidation>
    <dataValidation type="list" allowBlank="1" showInputMessage="1" showErrorMessage="1" sqref="E22" xr:uid="{74C79C35-FF00-4E8F-9E4F-FCD239BA8886}">
      <formula1>"% allocated to Savings, % not allocated to Expenses"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6AA5-4567-45D9-A283-40E06CB50EA2}">
  <sheetPr>
    <tabColor theme="0"/>
  </sheetPr>
  <dimension ref="A1:EM71"/>
  <sheetViews>
    <sheetView showGridLines="0" zoomScaleNormal="100" workbookViewId="0">
      <pane xSplit="4" topLeftCell="E1" activePane="topRight" state="frozen"/>
      <selection pane="topRight" activeCell="C10" sqref="C10"/>
    </sheetView>
  </sheetViews>
  <sheetFormatPr defaultRowHeight="15" outlineLevelCol="1" x14ac:dyDescent="0.2"/>
  <cols>
    <col min="1" max="1" width="5.51171875" customWidth="1"/>
    <col min="2" max="2" width="2.82421875" customWidth="1"/>
    <col min="3" max="3" width="27.7109375" customWidth="1"/>
    <col min="4" max="4" width="1.34375" customWidth="1"/>
    <col min="5" max="13" width="8.875" customWidth="1" outlineLevel="1"/>
    <col min="14" max="16" width="9.55078125" customWidth="1" outlineLevel="1"/>
    <col min="18" max="18" width="1.34375" customWidth="1"/>
    <col min="19" max="27" width="8.875" hidden="1" customWidth="1" outlineLevel="1"/>
    <col min="28" max="30" width="9.55078125" hidden="1" customWidth="1" outlineLevel="1"/>
    <col min="31" max="31" width="8.875" collapsed="1"/>
    <col min="32" max="32" width="1.34375" customWidth="1"/>
    <col min="33" max="41" width="0" hidden="1" customWidth="1" outlineLevel="1"/>
    <col min="42" max="44" width="9.55078125" hidden="1" customWidth="1" outlineLevel="1"/>
    <col min="45" max="45" width="8.875" collapsed="1"/>
    <col min="46" max="46" width="1.34375" customWidth="1"/>
    <col min="47" max="55" width="0" hidden="1" customWidth="1" outlineLevel="1"/>
    <col min="56" max="58" width="9.55078125" hidden="1" customWidth="1" outlineLevel="1"/>
    <col min="59" max="59" width="8.875" collapsed="1"/>
    <col min="60" max="60" width="1.34375" customWidth="1"/>
    <col min="61" max="69" width="0" hidden="1" customWidth="1" outlineLevel="1"/>
    <col min="70" max="72" width="9.55078125" hidden="1" customWidth="1" outlineLevel="1"/>
    <col min="73" max="73" width="8.875" collapsed="1"/>
    <col min="74" max="74" width="1.34375" customWidth="1"/>
    <col min="75" max="83" width="0" hidden="1" customWidth="1" outlineLevel="1"/>
    <col min="84" max="86" width="9.55078125" hidden="1" customWidth="1" outlineLevel="1"/>
    <col min="87" max="87" width="8.875" collapsed="1"/>
    <col min="88" max="88" width="1.34375" customWidth="1"/>
    <col min="89" max="97" width="0" hidden="1" customWidth="1" outlineLevel="1"/>
    <col min="98" max="100" width="9.55078125" hidden="1" customWidth="1" outlineLevel="1"/>
    <col min="101" max="101" width="8.875" collapsed="1"/>
    <col min="102" max="102" width="1.34375" customWidth="1"/>
    <col min="103" max="111" width="0" hidden="1" customWidth="1" outlineLevel="1"/>
    <col min="112" max="114" width="9.55078125" hidden="1" customWidth="1" outlineLevel="1"/>
    <col min="115" max="115" width="8.875" collapsed="1"/>
    <col min="116" max="116" width="1.34375" customWidth="1"/>
    <col min="117" max="125" width="0" hidden="1" customWidth="1" outlineLevel="1"/>
    <col min="126" max="128" width="9.55078125" hidden="1" customWidth="1" outlineLevel="1"/>
    <col min="129" max="129" width="8.875" collapsed="1"/>
    <col min="130" max="130" width="1.34375" customWidth="1"/>
    <col min="131" max="139" width="0" hidden="1" customWidth="1" outlineLevel="1"/>
    <col min="140" max="142" width="9.55078125" hidden="1" customWidth="1" outlineLevel="1"/>
    <col min="143" max="143" width="8.875" collapsed="1"/>
    <col min="144" max="144" width="1.34375" customWidth="1"/>
  </cols>
  <sheetData>
    <row r="1" spans="1:143" s="1" customFormat="1" ht="7.15" customHeight="1" x14ac:dyDescent="0.2"/>
    <row r="2" spans="1:143" s="1" customFormat="1" ht="27.6" customHeight="1" x14ac:dyDescent="0.35">
      <c r="B2" s="2" t="s">
        <v>2</v>
      </c>
    </row>
    <row r="3" spans="1:143" s="1" customFormat="1" ht="7.15" customHeight="1" x14ac:dyDescent="0.2"/>
    <row r="4" spans="1:143" x14ac:dyDescent="0.2">
      <c r="A4" s="5"/>
    </row>
    <row r="5" spans="1:143" ht="18" customHeight="1" x14ac:dyDescent="0.2">
      <c r="C5" s="14" t="s">
        <v>9</v>
      </c>
      <c r="E5" s="86">
        <f>starting_year</f>
        <v>2022</v>
      </c>
      <c r="F5" s="86"/>
      <c r="G5" s="86"/>
      <c r="H5" s="86"/>
      <c r="I5" s="86"/>
      <c r="J5" s="86"/>
      <c r="K5" s="86"/>
      <c r="L5" s="86"/>
      <c r="M5" s="86"/>
      <c r="N5" s="86"/>
      <c r="O5" s="86"/>
      <c r="P5" s="86"/>
      <c r="Q5" s="86"/>
      <c r="S5" s="86">
        <f>E5+1</f>
        <v>2023</v>
      </c>
      <c r="T5" s="86"/>
      <c r="U5" s="86"/>
      <c r="V5" s="86"/>
      <c r="W5" s="86"/>
      <c r="X5" s="86"/>
      <c r="Y5" s="86"/>
      <c r="Z5" s="86"/>
      <c r="AA5" s="86"/>
      <c r="AB5" s="86"/>
      <c r="AC5" s="86"/>
      <c r="AD5" s="86"/>
      <c r="AE5" s="86"/>
      <c r="AG5" s="86">
        <f t="shared" ref="AG5" si="0">S5+1</f>
        <v>2024</v>
      </c>
      <c r="AH5" s="86"/>
      <c r="AI5" s="86"/>
      <c r="AJ5" s="86"/>
      <c r="AK5" s="86"/>
      <c r="AL5" s="86"/>
      <c r="AM5" s="86"/>
      <c r="AN5" s="86"/>
      <c r="AO5" s="86"/>
      <c r="AP5" s="86"/>
      <c r="AQ5" s="86"/>
      <c r="AR5" s="86"/>
      <c r="AS5" s="86"/>
      <c r="AU5" s="86">
        <f t="shared" ref="AU5" si="1">AG5+1</f>
        <v>2025</v>
      </c>
      <c r="AV5" s="86"/>
      <c r="AW5" s="86"/>
      <c r="AX5" s="86"/>
      <c r="AY5" s="86"/>
      <c r="AZ5" s="86"/>
      <c r="BA5" s="86"/>
      <c r="BB5" s="86"/>
      <c r="BC5" s="86"/>
      <c r="BD5" s="86"/>
      <c r="BE5" s="86"/>
      <c r="BF5" s="86"/>
      <c r="BG5" s="86"/>
      <c r="BI5" s="86">
        <f t="shared" ref="BI5" si="2">AU5+1</f>
        <v>2026</v>
      </c>
      <c r="BJ5" s="86"/>
      <c r="BK5" s="86"/>
      <c r="BL5" s="86"/>
      <c r="BM5" s="86"/>
      <c r="BN5" s="86"/>
      <c r="BO5" s="86"/>
      <c r="BP5" s="86"/>
      <c r="BQ5" s="86"/>
      <c r="BR5" s="86"/>
      <c r="BS5" s="86"/>
      <c r="BT5" s="86"/>
      <c r="BU5" s="86"/>
      <c r="BW5" s="86">
        <f t="shared" ref="BW5" si="3">BI5+1</f>
        <v>2027</v>
      </c>
      <c r="BX5" s="86"/>
      <c r="BY5" s="86"/>
      <c r="BZ5" s="86"/>
      <c r="CA5" s="86"/>
      <c r="CB5" s="86"/>
      <c r="CC5" s="86"/>
      <c r="CD5" s="86"/>
      <c r="CE5" s="86"/>
      <c r="CF5" s="86"/>
      <c r="CG5" s="86"/>
      <c r="CH5" s="86"/>
      <c r="CI5" s="86"/>
      <c r="CK5" s="86">
        <f t="shared" ref="CK5" si="4">BW5+1</f>
        <v>2028</v>
      </c>
      <c r="CL5" s="86"/>
      <c r="CM5" s="86"/>
      <c r="CN5" s="86"/>
      <c r="CO5" s="86"/>
      <c r="CP5" s="86"/>
      <c r="CQ5" s="86"/>
      <c r="CR5" s="86"/>
      <c r="CS5" s="86"/>
      <c r="CT5" s="86"/>
      <c r="CU5" s="86"/>
      <c r="CV5" s="86"/>
      <c r="CW5" s="86"/>
      <c r="CY5" s="86">
        <f t="shared" ref="CY5" si="5">CK5+1</f>
        <v>2029</v>
      </c>
      <c r="CZ5" s="86"/>
      <c r="DA5" s="86"/>
      <c r="DB5" s="86"/>
      <c r="DC5" s="86"/>
      <c r="DD5" s="86"/>
      <c r="DE5" s="86"/>
      <c r="DF5" s="86"/>
      <c r="DG5" s="86"/>
      <c r="DH5" s="86"/>
      <c r="DI5" s="86"/>
      <c r="DJ5" s="86"/>
      <c r="DK5" s="86"/>
      <c r="DM5" s="86">
        <f t="shared" ref="DM5" si="6">CY5+1</f>
        <v>2030</v>
      </c>
      <c r="DN5" s="86"/>
      <c r="DO5" s="86"/>
      <c r="DP5" s="86"/>
      <c r="DQ5" s="86"/>
      <c r="DR5" s="86"/>
      <c r="DS5" s="86"/>
      <c r="DT5" s="86"/>
      <c r="DU5" s="86"/>
      <c r="DV5" s="86"/>
      <c r="DW5" s="86"/>
      <c r="DX5" s="86"/>
      <c r="DY5" s="86"/>
      <c r="EA5" s="86">
        <f t="shared" ref="EA5" si="7">DM5+1</f>
        <v>2031</v>
      </c>
      <c r="EB5" s="86"/>
      <c r="EC5" s="86"/>
      <c r="ED5" s="86"/>
      <c r="EE5" s="86"/>
      <c r="EF5" s="86"/>
      <c r="EG5" s="86"/>
      <c r="EH5" s="86"/>
      <c r="EI5" s="86"/>
      <c r="EJ5" s="86"/>
      <c r="EK5" s="86"/>
      <c r="EL5" s="86"/>
      <c r="EM5" s="86"/>
    </row>
    <row r="6" spans="1:143" x14ac:dyDescent="0.2">
      <c r="E6" s="30" t="str">
        <f ca="1">IF(E7=0, "Jan ✓", "Jan")</f>
        <v>Jan ✓</v>
      </c>
      <c r="F6" s="30" t="str">
        <f ca="1">IF(F7=0, "Feb ✓", "Feb")</f>
        <v>Feb ✓</v>
      </c>
      <c r="G6" s="30" t="str">
        <f ca="1">IF(G7=0, "Mar ✓", "Mar")</f>
        <v>Mar ✓</v>
      </c>
      <c r="H6" s="30" t="str">
        <f ca="1">IF(H7=0, "Apr ✓", "Apr")</f>
        <v>Apr ✓</v>
      </c>
      <c r="I6" s="30" t="str">
        <f ca="1">IF(I7=0, "May ✓", "May")</f>
        <v>May ✓</v>
      </c>
      <c r="J6" s="30" t="str">
        <f ca="1">IF(J7=0, "Jun ✓", "Jun")</f>
        <v>Jun ✓</v>
      </c>
      <c r="K6" s="30" t="str">
        <f ca="1">IF(K7=0, "Jul ✓", "Jul")</f>
        <v>Jul ✓</v>
      </c>
      <c r="L6" s="30" t="str">
        <f ca="1">IF(L7=0, "Aug ✓", "Aug")</f>
        <v>Aug ✓</v>
      </c>
      <c r="M6" s="30" t="str">
        <f ca="1">IF(M7=0, "Sep ✓", "Sep")</f>
        <v>Sep ✓</v>
      </c>
      <c r="N6" s="30" t="str">
        <f ca="1">IF(N7=0, "Oct ✓", "Oct")</f>
        <v>Oct ✓</v>
      </c>
      <c r="O6" s="30" t="str">
        <f ca="1">IF(O7=0, "Nov ✓", "Nov")</f>
        <v>Nov ✓</v>
      </c>
      <c r="P6" s="30" t="str">
        <f ca="1">IF(P7=0, "Dec ✓", "Dec")</f>
        <v>Dec ✓</v>
      </c>
      <c r="Q6" s="30" t="str">
        <f ca="1">IF(Q7=0, "Total ✓", "Total")</f>
        <v>Total ✓</v>
      </c>
      <c r="S6" s="30" t="str">
        <f ca="1">IF(S7=0, "Jan ✓", "Jan")</f>
        <v>Jan ✓</v>
      </c>
      <c r="T6" s="30" t="str">
        <f ca="1">IF(T7=0, "Feb ✓", "Feb")</f>
        <v>Feb ✓</v>
      </c>
      <c r="U6" s="30" t="str">
        <f ca="1">IF(U7=0, "Mar ✓", "Mar")</f>
        <v>Mar ✓</v>
      </c>
      <c r="V6" s="30" t="str">
        <f ca="1">IF(V7=0, "Apr ✓", "Apr")</f>
        <v>Apr ✓</v>
      </c>
      <c r="W6" s="30" t="str">
        <f ca="1">IF(W7=0, "May ✓", "May")</f>
        <v>May ✓</v>
      </c>
      <c r="X6" s="30" t="str">
        <f ca="1">IF(X7=0, "Jun ✓", "Jun")</f>
        <v>Jun ✓</v>
      </c>
      <c r="Y6" s="30" t="str">
        <f ca="1">IF(Y7=0, "Jul ✓", "Jul")</f>
        <v>Jul ✓</v>
      </c>
      <c r="Z6" s="30" t="str">
        <f ca="1">IF(Z7=0, "Aug ✓", "Aug")</f>
        <v>Aug ✓</v>
      </c>
      <c r="AA6" s="30" t="str">
        <f ca="1">IF(AA7=0, "Sep ✓", "Sep")</f>
        <v>Sep ✓</v>
      </c>
      <c r="AB6" s="30" t="str">
        <f ca="1">IF(AB7=0, "Oct ✓", "Oct")</f>
        <v>Oct ✓</v>
      </c>
      <c r="AC6" s="30" t="str">
        <f ca="1">IF(AC7=0, "Nov ✓", "Nov")</f>
        <v>Nov ✓</v>
      </c>
      <c r="AD6" s="30" t="str">
        <f ca="1">IF(AD7=0, "Dec ✓", "Dec")</f>
        <v>Dec ✓</v>
      </c>
      <c r="AE6" s="30" t="str">
        <f ca="1">IF(AE7=0, "Total ✓", "Total")</f>
        <v>Total ✓</v>
      </c>
      <c r="AG6" s="30" t="str">
        <f t="shared" ref="AG6" ca="1" si="8">IF(AG7=0, "Jan ✓", "Jan")</f>
        <v>Jan ✓</v>
      </c>
      <c r="AH6" s="30" t="str">
        <f t="shared" ref="AH6" ca="1" si="9">IF(AH7=0, "Feb ✓", "Feb")</f>
        <v>Feb ✓</v>
      </c>
      <c r="AI6" s="30" t="str">
        <f t="shared" ref="AI6" ca="1" si="10">IF(AI7=0, "Mar ✓", "Mar")</f>
        <v>Mar ✓</v>
      </c>
      <c r="AJ6" s="30" t="str">
        <f t="shared" ref="AJ6" ca="1" si="11">IF(AJ7=0, "Apr ✓", "Apr")</f>
        <v>Apr ✓</v>
      </c>
      <c r="AK6" s="30" t="str">
        <f t="shared" ref="AK6" ca="1" si="12">IF(AK7=0, "May ✓", "May")</f>
        <v>May ✓</v>
      </c>
      <c r="AL6" s="30" t="str">
        <f t="shared" ref="AL6" ca="1" si="13">IF(AL7=0, "Jun ✓", "Jun")</f>
        <v>Jun ✓</v>
      </c>
      <c r="AM6" s="30" t="str">
        <f t="shared" ref="AM6" ca="1" si="14">IF(AM7=0, "Jul ✓", "Jul")</f>
        <v>Jul ✓</v>
      </c>
      <c r="AN6" s="30" t="str">
        <f t="shared" ref="AN6" ca="1" si="15">IF(AN7=0, "Aug ✓", "Aug")</f>
        <v>Aug ✓</v>
      </c>
      <c r="AO6" s="30" t="str">
        <f t="shared" ref="AO6" ca="1" si="16">IF(AO7=0, "Sep ✓", "Sep")</f>
        <v>Sep ✓</v>
      </c>
      <c r="AP6" s="30" t="str">
        <f t="shared" ref="AP6" ca="1" si="17">IF(AP7=0, "Oct ✓", "Oct")</f>
        <v>Oct ✓</v>
      </c>
      <c r="AQ6" s="30" t="str">
        <f t="shared" ref="AQ6" ca="1" si="18">IF(AQ7=0, "Nov ✓", "Nov")</f>
        <v>Nov ✓</v>
      </c>
      <c r="AR6" s="30" t="str">
        <f t="shared" ref="AR6" ca="1" si="19">IF(AR7=0, "Dec ✓", "Dec")</f>
        <v>Dec ✓</v>
      </c>
      <c r="AS6" s="30" t="str">
        <f t="shared" ref="AS6" ca="1" si="20">IF(AS7=0, "Total ✓", "Total")</f>
        <v>Total ✓</v>
      </c>
      <c r="AU6" s="30" t="str">
        <f t="shared" ref="AU6" ca="1" si="21">IF(AU7=0, "Jan ✓", "Jan")</f>
        <v>Jan ✓</v>
      </c>
      <c r="AV6" s="30" t="str">
        <f t="shared" ref="AV6" ca="1" si="22">IF(AV7=0, "Feb ✓", "Feb")</f>
        <v>Feb ✓</v>
      </c>
      <c r="AW6" s="30" t="str">
        <f t="shared" ref="AW6" ca="1" si="23">IF(AW7=0, "Mar ✓", "Mar")</f>
        <v>Mar ✓</v>
      </c>
      <c r="AX6" s="30" t="str">
        <f t="shared" ref="AX6" ca="1" si="24">IF(AX7=0, "Apr ✓", "Apr")</f>
        <v>Apr ✓</v>
      </c>
      <c r="AY6" s="30" t="str">
        <f t="shared" ref="AY6" ca="1" si="25">IF(AY7=0, "May ✓", "May")</f>
        <v>May ✓</v>
      </c>
      <c r="AZ6" s="30" t="str">
        <f t="shared" ref="AZ6" ca="1" si="26">IF(AZ7=0, "Jun ✓", "Jun")</f>
        <v>Jun ✓</v>
      </c>
      <c r="BA6" s="30" t="str">
        <f t="shared" ref="BA6" ca="1" si="27">IF(BA7=0, "Jul ✓", "Jul")</f>
        <v>Jul ✓</v>
      </c>
      <c r="BB6" s="30" t="str">
        <f t="shared" ref="BB6" ca="1" si="28">IF(BB7=0, "Aug ✓", "Aug")</f>
        <v>Aug ✓</v>
      </c>
      <c r="BC6" s="30" t="str">
        <f t="shared" ref="BC6" ca="1" si="29">IF(BC7=0, "Sep ✓", "Sep")</f>
        <v>Sep ✓</v>
      </c>
      <c r="BD6" s="30" t="str">
        <f t="shared" ref="BD6" ca="1" si="30">IF(BD7=0, "Oct ✓", "Oct")</f>
        <v>Oct ✓</v>
      </c>
      <c r="BE6" s="30" t="str">
        <f t="shared" ref="BE6" ca="1" si="31">IF(BE7=0, "Nov ✓", "Nov")</f>
        <v>Nov ✓</v>
      </c>
      <c r="BF6" s="30" t="str">
        <f t="shared" ref="BF6" ca="1" si="32">IF(BF7=0, "Dec ✓", "Dec")</f>
        <v>Dec ✓</v>
      </c>
      <c r="BG6" s="30" t="str">
        <f t="shared" ref="BG6" ca="1" si="33">IF(BG7=0, "Total ✓", "Total")</f>
        <v>Total ✓</v>
      </c>
      <c r="BI6" s="30" t="str">
        <f t="shared" ref="BI6" ca="1" si="34">IF(BI7=0, "Jan ✓", "Jan")</f>
        <v>Jan ✓</v>
      </c>
      <c r="BJ6" s="30" t="str">
        <f t="shared" ref="BJ6" ca="1" si="35">IF(BJ7=0, "Feb ✓", "Feb")</f>
        <v>Feb ✓</v>
      </c>
      <c r="BK6" s="30" t="str">
        <f t="shared" ref="BK6" ca="1" si="36">IF(BK7=0, "Mar ✓", "Mar")</f>
        <v>Mar ✓</v>
      </c>
      <c r="BL6" s="30" t="str">
        <f t="shared" ref="BL6" ca="1" si="37">IF(BL7=0, "Apr ✓", "Apr")</f>
        <v>Apr ✓</v>
      </c>
      <c r="BM6" s="30" t="str">
        <f t="shared" ref="BM6" ca="1" si="38">IF(BM7=0, "May ✓", "May")</f>
        <v>May ✓</v>
      </c>
      <c r="BN6" s="30" t="str">
        <f t="shared" ref="BN6" ca="1" si="39">IF(BN7=0, "Jun ✓", "Jun")</f>
        <v>Jun ✓</v>
      </c>
      <c r="BO6" s="30" t="str">
        <f t="shared" ref="BO6" ca="1" si="40">IF(BO7=0, "Jul ✓", "Jul")</f>
        <v>Jul ✓</v>
      </c>
      <c r="BP6" s="30" t="str">
        <f t="shared" ref="BP6" ca="1" si="41">IF(BP7=0, "Aug ✓", "Aug")</f>
        <v>Aug ✓</v>
      </c>
      <c r="BQ6" s="30" t="str">
        <f t="shared" ref="BQ6" ca="1" si="42">IF(BQ7=0, "Sep ✓", "Sep")</f>
        <v>Sep ✓</v>
      </c>
      <c r="BR6" s="30" t="str">
        <f t="shared" ref="BR6" ca="1" si="43">IF(BR7=0, "Oct ✓", "Oct")</f>
        <v>Oct ✓</v>
      </c>
      <c r="BS6" s="30" t="str">
        <f t="shared" ref="BS6" ca="1" si="44">IF(BS7=0, "Nov ✓", "Nov")</f>
        <v>Nov ✓</v>
      </c>
      <c r="BT6" s="30" t="str">
        <f t="shared" ref="BT6" ca="1" si="45">IF(BT7=0, "Dec ✓", "Dec")</f>
        <v>Dec ✓</v>
      </c>
      <c r="BU6" s="30" t="str">
        <f t="shared" ref="BU6" ca="1" si="46">IF(BU7=0, "Total ✓", "Total")</f>
        <v>Total ✓</v>
      </c>
      <c r="BW6" s="30" t="str">
        <f t="shared" ref="BW6" ca="1" si="47">IF(BW7=0, "Jan ✓", "Jan")</f>
        <v>Jan ✓</v>
      </c>
      <c r="BX6" s="30" t="str">
        <f t="shared" ref="BX6" ca="1" si="48">IF(BX7=0, "Feb ✓", "Feb")</f>
        <v>Feb ✓</v>
      </c>
      <c r="BY6" s="30" t="str">
        <f t="shared" ref="BY6" ca="1" si="49">IF(BY7=0, "Mar ✓", "Mar")</f>
        <v>Mar ✓</v>
      </c>
      <c r="BZ6" s="30" t="str">
        <f t="shared" ref="BZ6" ca="1" si="50">IF(BZ7=0, "Apr ✓", "Apr")</f>
        <v>Apr ✓</v>
      </c>
      <c r="CA6" s="30" t="str">
        <f t="shared" ref="CA6" ca="1" si="51">IF(CA7=0, "May ✓", "May")</f>
        <v>May ✓</v>
      </c>
      <c r="CB6" s="30" t="str">
        <f t="shared" ref="CB6" ca="1" si="52">IF(CB7=0, "Jun ✓", "Jun")</f>
        <v>Jun ✓</v>
      </c>
      <c r="CC6" s="30" t="str">
        <f t="shared" ref="CC6" ca="1" si="53">IF(CC7=0, "Jul ✓", "Jul")</f>
        <v>Jul ✓</v>
      </c>
      <c r="CD6" s="30" t="str">
        <f t="shared" ref="CD6" ca="1" si="54">IF(CD7=0, "Aug ✓", "Aug")</f>
        <v>Aug ✓</v>
      </c>
      <c r="CE6" s="30" t="str">
        <f t="shared" ref="CE6" ca="1" si="55">IF(CE7=0, "Sep ✓", "Sep")</f>
        <v>Sep ✓</v>
      </c>
      <c r="CF6" s="30" t="str">
        <f t="shared" ref="CF6" ca="1" si="56">IF(CF7=0, "Oct ✓", "Oct")</f>
        <v>Oct ✓</v>
      </c>
      <c r="CG6" s="30" t="str">
        <f t="shared" ref="CG6" ca="1" si="57">IF(CG7=0, "Nov ✓", "Nov")</f>
        <v>Nov ✓</v>
      </c>
      <c r="CH6" s="30" t="str">
        <f t="shared" ref="CH6" ca="1" si="58">IF(CH7=0, "Dec ✓", "Dec")</f>
        <v>Dec ✓</v>
      </c>
      <c r="CI6" s="30" t="str">
        <f t="shared" ref="CI6" ca="1" si="59">IF(CI7=0, "Total ✓", "Total")</f>
        <v>Total ✓</v>
      </c>
      <c r="CK6" s="30" t="str">
        <f t="shared" ref="CK6" ca="1" si="60">IF(CK7=0, "Jan ✓", "Jan")</f>
        <v>Jan ✓</v>
      </c>
      <c r="CL6" s="30" t="str">
        <f t="shared" ref="CL6" ca="1" si="61">IF(CL7=0, "Feb ✓", "Feb")</f>
        <v>Feb ✓</v>
      </c>
      <c r="CM6" s="30" t="str">
        <f t="shared" ref="CM6" ca="1" si="62">IF(CM7=0, "Mar ✓", "Mar")</f>
        <v>Mar ✓</v>
      </c>
      <c r="CN6" s="30" t="str">
        <f t="shared" ref="CN6" ca="1" si="63">IF(CN7=0, "Apr ✓", "Apr")</f>
        <v>Apr ✓</v>
      </c>
      <c r="CO6" s="30" t="str">
        <f t="shared" ref="CO6" ca="1" si="64">IF(CO7=0, "May ✓", "May")</f>
        <v>May ✓</v>
      </c>
      <c r="CP6" s="30" t="str">
        <f t="shared" ref="CP6" ca="1" si="65">IF(CP7=0, "Jun ✓", "Jun")</f>
        <v>Jun ✓</v>
      </c>
      <c r="CQ6" s="30" t="str">
        <f t="shared" ref="CQ6" ca="1" si="66">IF(CQ7=0, "Jul ✓", "Jul")</f>
        <v>Jul ✓</v>
      </c>
      <c r="CR6" s="30" t="str">
        <f t="shared" ref="CR6" ca="1" si="67">IF(CR7=0, "Aug ✓", "Aug")</f>
        <v>Aug ✓</v>
      </c>
      <c r="CS6" s="30" t="str">
        <f t="shared" ref="CS6" ca="1" si="68">IF(CS7=0, "Sep ✓", "Sep")</f>
        <v>Sep ✓</v>
      </c>
      <c r="CT6" s="30" t="str">
        <f t="shared" ref="CT6" ca="1" si="69">IF(CT7=0, "Oct ✓", "Oct")</f>
        <v>Oct ✓</v>
      </c>
      <c r="CU6" s="30" t="str">
        <f t="shared" ref="CU6" ca="1" si="70">IF(CU7=0, "Nov ✓", "Nov")</f>
        <v>Nov ✓</v>
      </c>
      <c r="CV6" s="30" t="str">
        <f t="shared" ref="CV6" ca="1" si="71">IF(CV7=0, "Dec ✓", "Dec")</f>
        <v>Dec ✓</v>
      </c>
      <c r="CW6" s="30" t="str">
        <f t="shared" ref="CW6" ca="1" si="72">IF(CW7=0, "Total ✓", "Total")</f>
        <v>Total ✓</v>
      </c>
      <c r="CY6" s="30" t="str">
        <f t="shared" ref="CY6" ca="1" si="73">IF(CY7=0, "Jan ✓", "Jan")</f>
        <v>Jan ✓</v>
      </c>
      <c r="CZ6" s="30" t="str">
        <f t="shared" ref="CZ6" ca="1" si="74">IF(CZ7=0, "Feb ✓", "Feb")</f>
        <v>Feb ✓</v>
      </c>
      <c r="DA6" s="30" t="str">
        <f t="shared" ref="DA6" ca="1" si="75">IF(DA7=0, "Mar ✓", "Mar")</f>
        <v>Mar ✓</v>
      </c>
      <c r="DB6" s="30" t="str">
        <f t="shared" ref="DB6" ca="1" si="76">IF(DB7=0, "Apr ✓", "Apr")</f>
        <v>Apr ✓</v>
      </c>
      <c r="DC6" s="30" t="str">
        <f t="shared" ref="DC6" ca="1" si="77">IF(DC7=0, "May ✓", "May")</f>
        <v>May ✓</v>
      </c>
      <c r="DD6" s="30" t="str">
        <f t="shared" ref="DD6" ca="1" si="78">IF(DD7=0, "Jun ✓", "Jun")</f>
        <v>Jun ✓</v>
      </c>
      <c r="DE6" s="30" t="str">
        <f t="shared" ref="DE6" ca="1" si="79">IF(DE7=0, "Jul ✓", "Jul")</f>
        <v>Jul ✓</v>
      </c>
      <c r="DF6" s="30" t="str">
        <f t="shared" ref="DF6" ca="1" si="80">IF(DF7=0, "Aug ✓", "Aug")</f>
        <v>Aug ✓</v>
      </c>
      <c r="DG6" s="30" t="str">
        <f t="shared" ref="DG6" ca="1" si="81">IF(DG7=0, "Sep ✓", "Sep")</f>
        <v>Sep ✓</v>
      </c>
      <c r="DH6" s="30" t="str">
        <f t="shared" ref="DH6" ca="1" si="82">IF(DH7=0, "Oct ✓", "Oct")</f>
        <v>Oct ✓</v>
      </c>
      <c r="DI6" s="30" t="str">
        <f t="shared" ref="DI6" ca="1" si="83">IF(DI7=0, "Nov ✓", "Nov")</f>
        <v>Nov ✓</v>
      </c>
      <c r="DJ6" s="30" t="str">
        <f t="shared" ref="DJ6" ca="1" si="84">IF(DJ7=0, "Dec ✓", "Dec")</f>
        <v>Dec ✓</v>
      </c>
      <c r="DK6" s="30" t="str">
        <f t="shared" ref="DK6" ca="1" si="85">IF(DK7=0, "Total ✓", "Total")</f>
        <v>Total ✓</v>
      </c>
      <c r="DM6" s="30" t="str">
        <f t="shared" ref="DM6" ca="1" si="86">IF(DM7=0, "Jan ✓", "Jan")</f>
        <v>Jan ✓</v>
      </c>
      <c r="DN6" s="30" t="str">
        <f t="shared" ref="DN6" ca="1" si="87">IF(DN7=0, "Feb ✓", "Feb")</f>
        <v>Feb ✓</v>
      </c>
      <c r="DO6" s="30" t="str">
        <f t="shared" ref="DO6" ca="1" si="88">IF(DO7=0, "Mar ✓", "Mar")</f>
        <v>Mar ✓</v>
      </c>
      <c r="DP6" s="30" t="str">
        <f t="shared" ref="DP6" ca="1" si="89">IF(DP7=0, "Apr ✓", "Apr")</f>
        <v>Apr ✓</v>
      </c>
      <c r="DQ6" s="30" t="str">
        <f t="shared" ref="DQ6" ca="1" si="90">IF(DQ7=0, "May ✓", "May")</f>
        <v>May ✓</v>
      </c>
      <c r="DR6" s="30" t="str">
        <f t="shared" ref="DR6" ca="1" si="91">IF(DR7=0, "Jun ✓", "Jun")</f>
        <v>Jun ✓</v>
      </c>
      <c r="DS6" s="30" t="str">
        <f t="shared" ref="DS6" ca="1" si="92">IF(DS7=0, "Jul ✓", "Jul")</f>
        <v>Jul ✓</v>
      </c>
      <c r="DT6" s="30" t="str">
        <f t="shared" ref="DT6" ca="1" si="93">IF(DT7=0, "Aug ✓", "Aug")</f>
        <v>Aug ✓</v>
      </c>
      <c r="DU6" s="30" t="str">
        <f t="shared" ref="DU6" ca="1" si="94">IF(DU7=0, "Sep ✓", "Sep")</f>
        <v>Sep ✓</v>
      </c>
      <c r="DV6" s="30" t="str">
        <f t="shared" ref="DV6" ca="1" si="95">IF(DV7=0, "Oct ✓", "Oct")</f>
        <v>Oct ✓</v>
      </c>
      <c r="DW6" s="30" t="str">
        <f t="shared" ref="DW6" ca="1" si="96">IF(DW7=0, "Nov ✓", "Nov")</f>
        <v>Nov ✓</v>
      </c>
      <c r="DX6" s="30" t="str">
        <f t="shared" ref="DX6" ca="1" si="97">IF(DX7=0, "Dec ✓", "Dec")</f>
        <v>Dec ✓</v>
      </c>
      <c r="DY6" s="30" t="str">
        <f t="shared" ref="DY6" ca="1" si="98">IF(DY7=0, "Total ✓", "Total")</f>
        <v>Total ✓</v>
      </c>
      <c r="EA6" s="30" t="str">
        <f t="shared" ref="EA6" ca="1" si="99">IF(EA7=0, "Jan ✓", "Jan")</f>
        <v>Jan ✓</v>
      </c>
      <c r="EB6" s="30" t="str">
        <f t="shared" ref="EB6" ca="1" si="100">IF(EB7=0, "Feb ✓", "Feb")</f>
        <v>Feb ✓</v>
      </c>
      <c r="EC6" s="30" t="str">
        <f t="shared" ref="EC6" ca="1" si="101">IF(EC7=0, "Mar ✓", "Mar")</f>
        <v>Mar ✓</v>
      </c>
      <c r="ED6" s="30" t="str">
        <f t="shared" ref="ED6" ca="1" si="102">IF(ED7=0, "Apr ✓", "Apr")</f>
        <v>Apr ✓</v>
      </c>
      <c r="EE6" s="30" t="str">
        <f t="shared" ref="EE6" ca="1" si="103">IF(EE7=0, "May ✓", "May")</f>
        <v>May ✓</v>
      </c>
      <c r="EF6" s="30" t="str">
        <f t="shared" ref="EF6" ca="1" si="104">IF(EF7=0, "Jun ✓", "Jun")</f>
        <v>Jun ✓</v>
      </c>
      <c r="EG6" s="30" t="str">
        <f t="shared" ref="EG6" ca="1" si="105">IF(EG7=0, "Jul ✓", "Jul")</f>
        <v>Jul ✓</v>
      </c>
      <c r="EH6" s="30" t="str">
        <f t="shared" ref="EH6" ca="1" si="106">IF(EH7=0, "Aug ✓", "Aug")</f>
        <v>Aug ✓</v>
      </c>
      <c r="EI6" s="30" t="str">
        <f t="shared" ref="EI6" ca="1" si="107">IF(EI7=0, "Sep ✓", "Sep")</f>
        <v>Sep ✓</v>
      </c>
      <c r="EJ6" s="30" t="str">
        <f t="shared" ref="EJ6" ca="1" si="108">IF(EJ7=0, "Oct ✓", "Oct")</f>
        <v>Oct ✓</v>
      </c>
      <c r="EK6" s="30" t="str">
        <f t="shared" ref="EK6" ca="1" si="109">IF(EK7=0, "Nov ✓", "Nov")</f>
        <v>Nov ✓</v>
      </c>
      <c r="EL6" s="30" t="str">
        <f t="shared" ref="EL6" ca="1" si="110">IF(EL7=0, "Dec ✓", "Dec")</f>
        <v>Dec ✓</v>
      </c>
      <c r="EM6" s="30" t="str">
        <f t="shared" ref="EM6" ca="1" si="111">IF(EM7=0, "Total ✓", "Total")</f>
        <v>Total ✓</v>
      </c>
    </row>
    <row r="7" spans="1:143" x14ac:dyDescent="0.2">
      <c r="C7" s="27" t="s">
        <v>17</v>
      </c>
      <c r="E7" s="28">
        <f t="shared" ref="E7:Q7" ca="1" si="112">E20-(E58+E71)</f>
        <v>0</v>
      </c>
      <c r="F7" s="28">
        <f t="shared" ca="1" si="112"/>
        <v>0</v>
      </c>
      <c r="G7" s="28">
        <f t="shared" ca="1" si="112"/>
        <v>0</v>
      </c>
      <c r="H7" s="28">
        <f t="shared" ca="1" si="112"/>
        <v>0</v>
      </c>
      <c r="I7" s="28">
        <f t="shared" ca="1" si="112"/>
        <v>0</v>
      </c>
      <c r="J7" s="28">
        <f t="shared" ca="1" si="112"/>
        <v>0</v>
      </c>
      <c r="K7" s="28">
        <f t="shared" ca="1" si="112"/>
        <v>0</v>
      </c>
      <c r="L7" s="28">
        <f t="shared" ca="1" si="112"/>
        <v>0</v>
      </c>
      <c r="M7" s="28">
        <f t="shared" ca="1" si="112"/>
        <v>0</v>
      </c>
      <c r="N7" s="28">
        <f t="shared" ca="1" si="112"/>
        <v>0</v>
      </c>
      <c r="O7" s="28">
        <f t="shared" ca="1" si="112"/>
        <v>0</v>
      </c>
      <c r="P7" s="28">
        <f t="shared" ca="1" si="112"/>
        <v>0</v>
      </c>
      <c r="Q7" s="29">
        <f t="shared" ca="1" si="112"/>
        <v>0</v>
      </c>
      <c r="S7" s="28">
        <f t="shared" ref="S7:AE7" ca="1" si="113">S20-(S58+S71)</f>
        <v>0</v>
      </c>
      <c r="T7" s="28">
        <f t="shared" ca="1" si="113"/>
        <v>0</v>
      </c>
      <c r="U7" s="28">
        <f t="shared" ca="1" si="113"/>
        <v>0</v>
      </c>
      <c r="V7" s="28">
        <f t="shared" ca="1" si="113"/>
        <v>0</v>
      </c>
      <c r="W7" s="28">
        <f t="shared" ca="1" si="113"/>
        <v>0</v>
      </c>
      <c r="X7" s="28">
        <f t="shared" ca="1" si="113"/>
        <v>0</v>
      </c>
      <c r="Y7" s="28">
        <f t="shared" ca="1" si="113"/>
        <v>0</v>
      </c>
      <c r="Z7" s="28">
        <f t="shared" ca="1" si="113"/>
        <v>0</v>
      </c>
      <c r="AA7" s="28">
        <f t="shared" ca="1" si="113"/>
        <v>0</v>
      </c>
      <c r="AB7" s="28">
        <f t="shared" ca="1" si="113"/>
        <v>0</v>
      </c>
      <c r="AC7" s="28">
        <f t="shared" ca="1" si="113"/>
        <v>0</v>
      </c>
      <c r="AD7" s="28">
        <f t="shared" ca="1" si="113"/>
        <v>0</v>
      </c>
      <c r="AE7" s="29">
        <f t="shared" ca="1" si="113"/>
        <v>0</v>
      </c>
      <c r="AG7" s="28">
        <f t="shared" ref="AG7:AS7" ca="1" si="114">AG20-(AG58+AG71)</f>
        <v>0</v>
      </c>
      <c r="AH7" s="28">
        <f t="shared" ca="1" si="114"/>
        <v>0</v>
      </c>
      <c r="AI7" s="28">
        <f t="shared" ca="1" si="114"/>
        <v>0</v>
      </c>
      <c r="AJ7" s="28">
        <f t="shared" ca="1" si="114"/>
        <v>0</v>
      </c>
      <c r="AK7" s="28">
        <f t="shared" ca="1" si="114"/>
        <v>0</v>
      </c>
      <c r="AL7" s="28">
        <f t="shared" ca="1" si="114"/>
        <v>0</v>
      </c>
      <c r="AM7" s="28">
        <f t="shared" ca="1" si="114"/>
        <v>0</v>
      </c>
      <c r="AN7" s="28">
        <f t="shared" ca="1" si="114"/>
        <v>0</v>
      </c>
      <c r="AO7" s="28">
        <f t="shared" ca="1" si="114"/>
        <v>0</v>
      </c>
      <c r="AP7" s="28">
        <f t="shared" ca="1" si="114"/>
        <v>0</v>
      </c>
      <c r="AQ7" s="28">
        <f t="shared" ca="1" si="114"/>
        <v>0</v>
      </c>
      <c r="AR7" s="28">
        <f t="shared" ca="1" si="114"/>
        <v>0</v>
      </c>
      <c r="AS7" s="29">
        <f t="shared" ca="1" si="114"/>
        <v>0</v>
      </c>
      <c r="AU7" s="28">
        <f t="shared" ref="AU7:BG7" ca="1" si="115">AU20-(AU58+AU71)</f>
        <v>0</v>
      </c>
      <c r="AV7" s="28">
        <f t="shared" ca="1" si="115"/>
        <v>0</v>
      </c>
      <c r="AW7" s="28">
        <f t="shared" ca="1" si="115"/>
        <v>0</v>
      </c>
      <c r="AX7" s="28">
        <f t="shared" ca="1" si="115"/>
        <v>0</v>
      </c>
      <c r="AY7" s="28">
        <f t="shared" ca="1" si="115"/>
        <v>0</v>
      </c>
      <c r="AZ7" s="28">
        <f t="shared" ca="1" si="115"/>
        <v>0</v>
      </c>
      <c r="BA7" s="28">
        <f t="shared" ca="1" si="115"/>
        <v>0</v>
      </c>
      <c r="BB7" s="28">
        <f t="shared" ca="1" si="115"/>
        <v>0</v>
      </c>
      <c r="BC7" s="28">
        <f t="shared" ca="1" si="115"/>
        <v>0</v>
      </c>
      <c r="BD7" s="28">
        <f t="shared" ca="1" si="115"/>
        <v>0</v>
      </c>
      <c r="BE7" s="28">
        <f t="shared" ca="1" si="115"/>
        <v>0</v>
      </c>
      <c r="BF7" s="28">
        <f t="shared" ca="1" si="115"/>
        <v>0</v>
      </c>
      <c r="BG7" s="29">
        <f t="shared" ca="1" si="115"/>
        <v>0</v>
      </c>
      <c r="BI7" s="28">
        <f t="shared" ref="BI7:BU7" ca="1" si="116">BI20-(BI58+BI71)</f>
        <v>0</v>
      </c>
      <c r="BJ7" s="28">
        <f t="shared" ca="1" si="116"/>
        <v>0</v>
      </c>
      <c r="BK7" s="28">
        <f t="shared" ca="1" si="116"/>
        <v>0</v>
      </c>
      <c r="BL7" s="28">
        <f t="shared" ca="1" si="116"/>
        <v>0</v>
      </c>
      <c r="BM7" s="28">
        <f t="shared" ca="1" si="116"/>
        <v>0</v>
      </c>
      <c r="BN7" s="28">
        <f t="shared" ca="1" si="116"/>
        <v>0</v>
      </c>
      <c r="BO7" s="28">
        <f t="shared" ca="1" si="116"/>
        <v>0</v>
      </c>
      <c r="BP7" s="28">
        <f t="shared" ca="1" si="116"/>
        <v>0</v>
      </c>
      <c r="BQ7" s="28">
        <f t="shared" ca="1" si="116"/>
        <v>0</v>
      </c>
      <c r="BR7" s="28">
        <f t="shared" ca="1" si="116"/>
        <v>0</v>
      </c>
      <c r="BS7" s="28">
        <f t="shared" ca="1" si="116"/>
        <v>0</v>
      </c>
      <c r="BT7" s="28">
        <f t="shared" ca="1" si="116"/>
        <v>0</v>
      </c>
      <c r="BU7" s="29">
        <f t="shared" ca="1" si="116"/>
        <v>0</v>
      </c>
      <c r="BW7" s="28">
        <f t="shared" ref="BW7:CI7" ca="1" si="117">BW20-(BW58+BW71)</f>
        <v>0</v>
      </c>
      <c r="BX7" s="28">
        <f t="shared" ca="1" si="117"/>
        <v>0</v>
      </c>
      <c r="BY7" s="28">
        <f t="shared" ca="1" si="117"/>
        <v>0</v>
      </c>
      <c r="BZ7" s="28">
        <f t="shared" ca="1" si="117"/>
        <v>0</v>
      </c>
      <c r="CA7" s="28">
        <f t="shared" ca="1" si="117"/>
        <v>0</v>
      </c>
      <c r="CB7" s="28">
        <f t="shared" ca="1" si="117"/>
        <v>0</v>
      </c>
      <c r="CC7" s="28">
        <f t="shared" ca="1" si="117"/>
        <v>0</v>
      </c>
      <c r="CD7" s="28">
        <f t="shared" ca="1" si="117"/>
        <v>0</v>
      </c>
      <c r="CE7" s="28">
        <f t="shared" ca="1" si="117"/>
        <v>0</v>
      </c>
      <c r="CF7" s="28">
        <f t="shared" ca="1" si="117"/>
        <v>0</v>
      </c>
      <c r="CG7" s="28">
        <f t="shared" ca="1" si="117"/>
        <v>0</v>
      </c>
      <c r="CH7" s="28">
        <f t="shared" ca="1" si="117"/>
        <v>0</v>
      </c>
      <c r="CI7" s="29">
        <f t="shared" ca="1" si="117"/>
        <v>0</v>
      </c>
      <c r="CK7" s="28">
        <f t="shared" ref="CK7:CW7" ca="1" si="118">CK20-(CK58+CK71)</f>
        <v>0</v>
      </c>
      <c r="CL7" s="28">
        <f t="shared" ca="1" si="118"/>
        <v>0</v>
      </c>
      <c r="CM7" s="28">
        <f t="shared" ca="1" si="118"/>
        <v>0</v>
      </c>
      <c r="CN7" s="28">
        <f t="shared" ca="1" si="118"/>
        <v>0</v>
      </c>
      <c r="CO7" s="28">
        <f t="shared" ca="1" si="118"/>
        <v>0</v>
      </c>
      <c r="CP7" s="28">
        <f t="shared" ca="1" si="118"/>
        <v>0</v>
      </c>
      <c r="CQ7" s="28">
        <f t="shared" ca="1" si="118"/>
        <v>0</v>
      </c>
      <c r="CR7" s="28">
        <f t="shared" ca="1" si="118"/>
        <v>0</v>
      </c>
      <c r="CS7" s="28">
        <f t="shared" ca="1" si="118"/>
        <v>0</v>
      </c>
      <c r="CT7" s="28">
        <f t="shared" ca="1" si="118"/>
        <v>0</v>
      </c>
      <c r="CU7" s="28">
        <f t="shared" ca="1" si="118"/>
        <v>0</v>
      </c>
      <c r="CV7" s="28">
        <f t="shared" ca="1" si="118"/>
        <v>0</v>
      </c>
      <c r="CW7" s="29">
        <f t="shared" ca="1" si="118"/>
        <v>0</v>
      </c>
      <c r="CY7" s="28">
        <f t="shared" ref="CY7:DK7" ca="1" si="119">CY20-(CY58+CY71)</f>
        <v>0</v>
      </c>
      <c r="CZ7" s="28">
        <f t="shared" ca="1" si="119"/>
        <v>0</v>
      </c>
      <c r="DA7" s="28">
        <f t="shared" ca="1" si="119"/>
        <v>0</v>
      </c>
      <c r="DB7" s="28">
        <f t="shared" ca="1" si="119"/>
        <v>0</v>
      </c>
      <c r="DC7" s="28">
        <f t="shared" ca="1" si="119"/>
        <v>0</v>
      </c>
      <c r="DD7" s="28">
        <f t="shared" ca="1" si="119"/>
        <v>0</v>
      </c>
      <c r="DE7" s="28">
        <f t="shared" ca="1" si="119"/>
        <v>0</v>
      </c>
      <c r="DF7" s="28">
        <f t="shared" ca="1" si="119"/>
        <v>0</v>
      </c>
      <c r="DG7" s="28">
        <f t="shared" ca="1" si="119"/>
        <v>0</v>
      </c>
      <c r="DH7" s="28">
        <f t="shared" ca="1" si="119"/>
        <v>0</v>
      </c>
      <c r="DI7" s="28">
        <f t="shared" ca="1" si="119"/>
        <v>0</v>
      </c>
      <c r="DJ7" s="28">
        <f t="shared" ca="1" si="119"/>
        <v>0</v>
      </c>
      <c r="DK7" s="29">
        <f t="shared" ca="1" si="119"/>
        <v>0</v>
      </c>
      <c r="DM7" s="28">
        <f t="shared" ref="DM7:DY7" ca="1" si="120">DM20-(DM58+DM71)</f>
        <v>0</v>
      </c>
      <c r="DN7" s="28">
        <f t="shared" ca="1" si="120"/>
        <v>0</v>
      </c>
      <c r="DO7" s="28">
        <f t="shared" ca="1" si="120"/>
        <v>0</v>
      </c>
      <c r="DP7" s="28">
        <f t="shared" ca="1" si="120"/>
        <v>0</v>
      </c>
      <c r="DQ7" s="28">
        <f t="shared" ca="1" si="120"/>
        <v>0</v>
      </c>
      <c r="DR7" s="28">
        <f t="shared" ca="1" si="120"/>
        <v>0</v>
      </c>
      <c r="DS7" s="28">
        <f t="shared" ca="1" si="120"/>
        <v>0</v>
      </c>
      <c r="DT7" s="28">
        <f t="shared" ca="1" si="120"/>
        <v>0</v>
      </c>
      <c r="DU7" s="28">
        <f t="shared" ca="1" si="120"/>
        <v>0</v>
      </c>
      <c r="DV7" s="28">
        <f t="shared" ca="1" si="120"/>
        <v>0</v>
      </c>
      <c r="DW7" s="28">
        <f t="shared" ca="1" si="120"/>
        <v>0</v>
      </c>
      <c r="DX7" s="28">
        <f t="shared" ca="1" si="120"/>
        <v>0</v>
      </c>
      <c r="DY7" s="29">
        <f t="shared" ca="1" si="120"/>
        <v>0</v>
      </c>
      <c r="EA7" s="28">
        <f t="shared" ref="EA7:EM7" ca="1" si="121">EA20-(EA58+EA71)</f>
        <v>0</v>
      </c>
      <c r="EB7" s="28">
        <f t="shared" ca="1" si="121"/>
        <v>0</v>
      </c>
      <c r="EC7" s="28">
        <f t="shared" ca="1" si="121"/>
        <v>0</v>
      </c>
      <c r="ED7" s="28">
        <f t="shared" ca="1" si="121"/>
        <v>0</v>
      </c>
      <c r="EE7" s="28">
        <f t="shared" ca="1" si="121"/>
        <v>0</v>
      </c>
      <c r="EF7" s="28">
        <f t="shared" ca="1" si="121"/>
        <v>0</v>
      </c>
      <c r="EG7" s="28">
        <f t="shared" ca="1" si="121"/>
        <v>0</v>
      </c>
      <c r="EH7" s="28">
        <f t="shared" ca="1" si="121"/>
        <v>0</v>
      </c>
      <c r="EI7" s="28">
        <f t="shared" ca="1" si="121"/>
        <v>0</v>
      </c>
      <c r="EJ7" s="28">
        <f t="shared" ca="1" si="121"/>
        <v>0</v>
      </c>
      <c r="EK7" s="28">
        <f t="shared" ca="1" si="121"/>
        <v>0</v>
      </c>
      <c r="EL7" s="28">
        <f t="shared" ca="1" si="121"/>
        <v>0</v>
      </c>
      <c r="EM7" s="29">
        <f t="shared" ca="1" si="121"/>
        <v>0</v>
      </c>
    </row>
    <row r="9" spans="1:143" x14ac:dyDescent="0.2">
      <c r="C9" s="15" t="s">
        <v>10</v>
      </c>
      <c r="E9" s="18">
        <f>DATE(E$5,1,1)</f>
        <v>44562</v>
      </c>
      <c r="F9" s="18">
        <f>DATE(E$5,2,1)</f>
        <v>44593</v>
      </c>
      <c r="G9" s="18">
        <f>DATE(E$5,3,1)</f>
        <v>44621</v>
      </c>
      <c r="H9" s="18">
        <f>DATE(E$5,4,1)</f>
        <v>44652</v>
      </c>
      <c r="I9" s="18">
        <f>DATE(E$5,5,1)</f>
        <v>44682</v>
      </c>
      <c r="J9" s="18">
        <f>DATE(E$5,6,1)</f>
        <v>44713</v>
      </c>
      <c r="K9" s="18">
        <f>DATE(E$5,7,1)</f>
        <v>44743</v>
      </c>
      <c r="L9" s="18">
        <f>DATE(E$5,8,1)</f>
        <v>44774</v>
      </c>
      <c r="M9" s="18">
        <f>DATE(E$5,9,1)</f>
        <v>44805</v>
      </c>
      <c r="N9" s="18">
        <f>DATE(E$5,10,1)</f>
        <v>44835</v>
      </c>
      <c r="O9" s="18">
        <f>DATE(E$5,11,1)</f>
        <v>44866</v>
      </c>
      <c r="P9" s="18">
        <f>DATE(E$5,12,1)</f>
        <v>44896</v>
      </c>
      <c r="Q9" s="17">
        <f>E$5</f>
        <v>2022</v>
      </c>
      <c r="S9" s="18">
        <f>DATE(S$5,1,1)</f>
        <v>44927</v>
      </c>
      <c r="T9" s="18">
        <f>DATE(S$5,2,1)</f>
        <v>44958</v>
      </c>
      <c r="U9" s="18">
        <f>DATE(S$5,3,1)</f>
        <v>44986</v>
      </c>
      <c r="V9" s="18">
        <f>DATE(S$5,4,1)</f>
        <v>45017</v>
      </c>
      <c r="W9" s="18">
        <f>DATE(S$5,5,1)</f>
        <v>45047</v>
      </c>
      <c r="X9" s="18">
        <f>DATE(S$5,6,1)</f>
        <v>45078</v>
      </c>
      <c r="Y9" s="18">
        <f>DATE(S$5,7,1)</f>
        <v>45108</v>
      </c>
      <c r="Z9" s="18">
        <f>DATE(S$5,8,1)</f>
        <v>45139</v>
      </c>
      <c r="AA9" s="18">
        <f>DATE(S$5,9,1)</f>
        <v>45170</v>
      </c>
      <c r="AB9" s="18">
        <f>DATE(S$5,10,1)</f>
        <v>45200</v>
      </c>
      <c r="AC9" s="18">
        <f>DATE(S$5,11,1)</f>
        <v>45231</v>
      </c>
      <c r="AD9" s="18">
        <f>DATE(S$5,12,1)</f>
        <v>45261</v>
      </c>
      <c r="AE9" s="17">
        <f>S$5</f>
        <v>2023</v>
      </c>
      <c r="AG9" s="18">
        <f t="shared" ref="AG9" si="122">DATE(AG$5,1,1)</f>
        <v>45292</v>
      </c>
      <c r="AH9" s="18">
        <f t="shared" ref="AH9" si="123">DATE(AG$5,2,1)</f>
        <v>45323</v>
      </c>
      <c r="AI9" s="18">
        <f t="shared" ref="AI9" si="124">DATE(AG$5,3,1)</f>
        <v>45352</v>
      </c>
      <c r="AJ9" s="18">
        <f t="shared" ref="AJ9" si="125">DATE(AG$5,4,1)</f>
        <v>45383</v>
      </c>
      <c r="AK9" s="18">
        <f t="shared" ref="AK9" si="126">DATE(AG$5,5,1)</f>
        <v>45413</v>
      </c>
      <c r="AL9" s="18">
        <f t="shared" ref="AL9" si="127">DATE(AG$5,6,1)</f>
        <v>45444</v>
      </c>
      <c r="AM9" s="18">
        <f t="shared" ref="AM9" si="128">DATE(AG$5,7,1)</f>
        <v>45474</v>
      </c>
      <c r="AN9" s="18">
        <f t="shared" ref="AN9" si="129">DATE(AG$5,8,1)</f>
        <v>45505</v>
      </c>
      <c r="AO9" s="18">
        <f t="shared" ref="AO9" si="130">DATE(AG$5,9,1)</f>
        <v>45536</v>
      </c>
      <c r="AP9" s="18">
        <f t="shared" ref="AP9" si="131">DATE(AG$5,10,1)</f>
        <v>45566</v>
      </c>
      <c r="AQ9" s="18">
        <f t="shared" ref="AQ9" si="132">DATE(AG$5,11,1)</f>
        <v>45597</v>
      </c>
      <c r="AR9" s="18">
        <f t="shared" ref="AR9" si="133">DATE(AG$5,12,1)</f>
        <v>45627</v>
      </c>
      <c r="AS9" s="17">
        <f t="shared" ref="AS9" si="134">AG$5</f>
        <v>2024</v>
      </c>
      <c r="AU9" s="18">
        <f t="shared" ref="AU9" si="135">DATE(AU$5,1,1)</f>
        <v>45658</v>
      </c>
      <c r="AV9" s="18">
        <f t="shared" ref="AV9" si="136">DATE(AU$5,2,1)</f>
        <v>45689</v>
      </c>
      <c r="AW9" s="18">
        <f t="shared" ref="AW9" si="137">DATE(AU$5,3,1)</f>
        <v>45717</v>
      </c>
      <c r="AX9" s="18">
        <f t="shared" ref="AX9" si="138">DATE(AU$5,4,1)</f>
        <v>45748</v>
      </c>
      <c r="AY9" s="18">
        <f t="shared" ref="AY9" si="139">DATE(AU$5,5,1)</f>
        <v>45778</v>
      </c>
      <c r="AZ9" s="18">
        <f t="shared" ref="AZ9" si="140">DATE(AU$5,6,1)</f>
        <v>45809</v>
      </c>
      <c r="BA9" s="18">
        <f t="shared" ref="BA9" si="141">DATE(AU$5,7,1)</f>
        <v>45839</v>
      </c>
      <c r="BB9" s="18">
        <f t="shared" ref="BB9" si="142">DATE(AU$5,8,1)</f>
        <v>45870</v>
      </c>
      <c r="BC9" s="18">
        <f t="shared" ref="BC9" si="143">DATE(AU$5,9,1)</f>
        <v>45901</v>
      </c>
      <c r="BD9" s="18">
        <f t="shared" ref="BD9" si="144">DATE(AU$5,10,1)</f>
        <v>45931</v>
      </c>
      <c r="BE9" s="18">
        <f t="shared" ref="BE9" si="145">DATE(AU$5,11,1)</f>
        <v>45962</v>
      </c>
      <c r="BF9" s="18">
        <f t="shared" ref="BF9" si="146">DATE(AU$5,12,1)</f>
        <v>45992</v>
      </c>
      <c r="BG9" s="17">
        <f t="shared" ref="BG9" si="147">AU$5</f>
        <v>2025</v>
      </c>
      <c r="BI9" s="18">
        <f t="shared" ref="BI9" si="148">DATE(BI$5,1,1)</f>
        <v>46023</v>
      </c>
      <c r="BJ9" s="18">
        <f t="shared" ref="BJ9" si="149">DATE(BI$5,2,1)</f>
        <v>46054</v>
      </c>
      <c r="BK9" s="18">
        <f t="shared" ref="BK9" si="150">DATE(BI$5,3,1)</f>
        <v>46082</v>
      </c>
      <c r="BL9" s="18">
        <f t="shared" ref="BL9" si="151">DATE(BI$5,4,1)</f>
        <v>46113</v>
      </c>
      <c r="BM9" s="18">
        <f t="shared" ref="BM9" si="152">DATE(BI$5,5,1)</f>
        <v>46143</v>
      </c>
      <c r="BN9" s="18">
        <f t="shared" ref="BN9" si="153">DATE(BI$5,6,1)</f>
        <v>46174</v>
      </c>
      <c r="BO9" s="18">
        <f t="shared" ref="BO9" si="154">DATE(BI$5,7,1)</f>
        <v>46204</v>
      </c>
      <c r="BP9" s="18">
        <f t="shared" ref="BP9" si="155">DATE(BI$5,8,1)</f>
        <v>46235</v>
      </c>
      <c r="BQ9" s="18">
        <f t="shared" ref="BQ9" si="156">DATE(BI$5,9,1)</f>
        <v>46266</v>
      </c>
      <c r="BR9" s="18">
        <f t="shared" ref="BR9" si="157">DATE(BI$5,10,1)</f>
        <v>46296</v>
      </c>
      <c r="BS9" s="18">
        <f t="shared" ref="BS9" si="158">DATE(BI$5,11,1)</f>
        <v>46327</v>
      </c>
      <c r="BT9" s="18">
        <f t="shared" ref="BT9" si="159">DATE(BI$5,12,1)</f>
        <v>46357</v>
      </c>
      <c r="BU9" s="17">
        <f t="shared" ref="BU9" si="160">BI$5</f>
        <v>2026</v>
      </c>
      <c r="BW9" s="18">
        <f t="shared" ref="BW9" si="161">DATE(BW$5,1,1)</f>
        <v>46388</v>
      </c>
      <c r="BX9" s="18">
        <f t="shared" ref="BX9" si="162">DATE(BW$5,2,1)</f>
        <v>46419</v>
      </c>
      <c r="BY9" s="18">
        <f t="shared" ref="BY9" si="163">DATE(BW$5,3,1)</f>
        <v>46447</v>
      </c>
      <c r="BZ9" s="18">
        <f t="shared" ref="BZ9" si="164">DATE(BW$5,4,1)</f>
        <v>46478</v>
      </c>
      <c r="CA9" s="18">
        <f t="shared" ref="CA9" si="165">DATE(BW$5,5,1)</f>
        <v>46508</v>
      </c>
      <c r="CB9" s="18">
        <f t="shared" ref="CB9" si="166">DATE(BW$5,6,1)</f>
        <v>46539</v>
      </c>
      <c r="CC9" s="18">
        <f t="shared" ref="CC9" si="167">DATE(BW$5,7,1)</f>
        <v>46569</v>
      </c>
      <c r="CD9" s="18">
        <f t="shared" ref="CD9" si="168">DATE(BW$5,8,1)</f>
        <v>46600</v>
      </c>
      <c r="CE9" s="18">
        <f t="shared" ref="CE9" si="169">DATE(BW$5,9,1)</f>
        <v>46631</v>
      </c>
      <c r="CF9" s="18">
        <f t="shared" ref="CF9" si="170">DATE(BW$5,10,1)</f>
        <v>46661</v>
      </c>
      <c r="CG9" s="18">
        <f t="shared" ref="CG9" si="171">DATE(BW$5,11,1)</f>
        <v>46692</v>
      </c>
      <c r="CH9" s="18">
        <f t="shared" ref="CH9" si="172">DATE(BW$5,12,1)</f>
        <v>46722</v>
      </c>
      <c r="CI9" s="17">
        <f t="shared" ref="CI9" si="173">BW$5</f>
        <v>2027</v>
      </c>
      <c r="CK9" s="18">
        <f t="shared" ref="CK9" si="174">DATE(CK$5,1,1)</f>
        <v>46753</v>
      </c>
      <c r="CL9" s="18">
        <f t="shared" ref="CL9" si="175">DATE(CK$5,2,1)</f>
        <v>46784</v>
      </c>
      <c r="CM9" s="18">
        <f t="shared" ref="CM9" si="176">DATE(CK$5,3,1)</f>
        <v>46813</v>
      </c>
      <c r="CN9" s="18">
        <f t="shared" ref="CN9" si="177">DATE(CK$5,4,1)</f>
        <v>46844</v>
      </c>
      <c r="CO9" s="18">
        <f t="shared" ref="CO9" si="178">DATE(CK$5,5,1)</f>
        <v>46874</v>
      </c>
      <c r="CP9" s="18">
        <f t="shared" ref="CP9" si="179">DATE(CK$5,6,1)</f>
        <v>46905</v>
      </c>
      <c r="CQ9" s="18">
        <f t="shared" ref="CQ9" si="180">DATE(CK$5,7,1)</f>
        <v>46935</v>
      </c>
      <c r="CR9" s="18">
        <f t="shared" ref="CR9" si="181">DATE(CK$5,8,1)</f>
        <v>46966</v>
      </c>
      <c r="CS9" s="18">
        <f t="shared" ref="CS9" si="182">DATE(CK$5,9,1)</f>
        <v>46997</v>
      </c>
      <c r="CT9" s="18">
        <f t="shared" ref="CT9" si="183">DATE(CK$5,10,1)</f>
        <v>47027</v>
      </c>
      <c r="CU9" s="18">
        <f t="shared" ref="CU9" si="184">DATE(CK$5,11,1)</f>
        <v>47058</v>
      </c>
      <c r="CV9" s="18">
        <f t="shared" ref="CV9" si="185">DATE(CK$5,12,1)</f>
        <v>47088</v>
      </c>
      <c r="CW9" s="17">
        <f t="shared" ref="CW9" si="186">CK$5</f>
        <v>2028</v>
      </c>
      <c r="CY9" s="18">
        <f t="shared" ref="CY9" si="187">DATE(CY$5,1,1)</f>
        <v>47119</v>
      </c>
      <c r="CZ9" s="18">
        <f t="shared" ref="CZ9" si="188">DATE(CY$5,2,1)</f>
        <v>47150</v>
      </c>
      <c r="DA9" s="18">
        <f t="shared" ref="DA9" si="189">DATE(CY$5,3,1)</f>
        <v>47178</v>
      </c>
      <c r="DB9" s="18">
        <f t="shared" ref="DB9" si="190">DATE(CY$5,4,1)</f>
        <v>47209</v>
      </c>
      <c r="DC9" s="18">
        <f t="shared" ref="DC9" si="191">DATE(CY$5,5,1)</f>
        <v>47239</v>
      </c>
      <c r="DD9" s="18">
        <f t="shared" ref="DD9" si="192">DATE(CY$5,6,1)</f>
        <v>47270</v>
      </c>
      <c r="DE9" s="18">
        <f t="shared" ref="DE9" si="193">DATE(CY$5,7,1)</f>
        <v>47300</v>
      </c>
      <c r="DF9" s="18">
        <f t="shared" ref="DF9" si="194">DATE(CY$5,8,1)</f>
        <v>47331</v>
      </c>
      <c r="DG9" s="18">
        <f t="shared" ref="DG9" si="195">DATE(CY$5,9,1)</f>
        <v>47362</v>
      </c>
      <c r="DH9" s="18">
        <f t="shared" ref="DH9" si="196">DATE(CY$5,10,1)</f>
        <v>47392</v>
      </c>
      <c r="DI9" s="18">
        <f t="shared" ref="DI9" si="197">DATE(CY$5,11,1)</f>
        <v>47423</v>
      </c>
      <c r="DJ9" s="18">
        <f t="shared" ref="DJ9" si="198">DATE(CY$5,12,1)</f>
        <v>47453</v>
      </c>
      <c r="DK9" s="17">
        <f t="shared" ref="DK9" si="199">CY$5</f>
        <v>2029</v>
      </c>
      <c r="DM9" s="18">
        <f t="shared" ref="DM9" si="200">DATE(DM$5,1,1)</f>
        <v>47484</v>
      </c>
      <c r="DN9" s="18">
        <f t="shared" ref="DN9" si="201">DATE(DM$5,2,1)</f>
        <v>47515</v>
      </c>
      <c r="DO9" s="18">
        <f t="shared" ref="DO9" si="202">DATE(DM$5,3,1)</f>
        <v>47543</v>
      </c>
      <c r="DP9" s="18">
        <f t="shared" ref="DP9" si="203">DATE(DM$5,4,1)</f>
        <v>47574</v>
      </c>
      <c r="DQ9" s="18">
        <f t="shared" ref="DQ9" si="204">DATE(DM$5,5,1)</f>
        <v>47604</v>
      </c>
      <c r="DR9" s="18">
        <f t="shared" ref="DR9" si="205">DATE(DM$5,6,1)</f>
        <v>47635</v>
      </c>
      <c r="DS9" s="18">
        <f t="shared" ref="DS9" si="206">DATE(DM$5,7,1)</f>
        <v>47665</v>
      </c>
      <c r="DT9" s="18">
        <f t="shared" ref="DT9" si="207">DATE(DM$5,8,1)</f>
        <v>47696</v>
      </c>
      <c r="DU9" s="18">
        <f t="shared" ref="DU9" si="208">DATE(DM$5,9,1)</f>
        <v>47727</v>
      </c>
      <c r="DV9" s="18">
        <f t="shared" ref="DV9" si="209">DATE(DM$5,10,1)</f>
        <v>47757</v>
      </c>
      <c r="DW9" s="18">
        <f t="shared" ref="DW9" si="210">DATE(DM$5,11,1)</f>
        <v>47788</v>
      </c>
      <c r="DX9" s="18">
        <f t="shared" ref="DX9" si="211">DATE(DM$5,12,1)</f>
        <v>47818</v>
      </c>
      <c r="DY9" s="17">
        <f t="shared" ref="DY9" si="212">DM$5</f>
        <v>2030</v>
      </c>
      <c r="EA9" s="18">
        <f t="shared" ref="EA9" si="213">DATE(EA$5,1,1)</f>
        <v>47849</v>
      </c>
      <c r="EB9" s="18">
        <f t="shared" ref="EB9" si="214">DATE(EA$5,2,1)</f>
        <v>47880</v>
      </c>
      <c r="EC9" s="18">
        <f t="shared" ref="EC9" si="215">DATE(EA$5,3,1)</f>
        <v>47908</v>
      </c>
      <c r="ED9" s="18">
        <f t="shared" ref="ED9" si="216">DATE(EA$5,4,1)</f>
        <v>47939</v>
      </c>
      <c r="EE9" s="18">
        <f t="shared" ref="EE9" si="217">DATE(EA$5,5,1)</f>
        <v>47969</v>
      </c>
      <c r="EF9" s="18">
        <f t="shared" ref="EF9" si="218">DATE(EA$5,6,1)</f>
        <v>48000</v>
      </c>
      <c r="EG9" s="18">
        <f t="shared" ref="EG9" si="219">DATE(EA$5,7,1)</f>
        <v>48030</v>
      </c>
      <c r="EH9" s="18">
        <f t="shared" ref="EH9" si="220">DATE(EA$5,8,1)</f>
        <v>48061</v>
      </c>
      <c r="EI9" s="18">
        <f t="shared" ref="EI9" si="221">DATE(EA$5,9,1)</f>
        <v>48092</v>
      </c>
      <c r="EJ9" s="18">
        <f t="shared" ref="EJ9" si="222">DATE(EA$5,10,1)</f>
        <v>48122</v>
      </c>
      <c r="EK9" s="18">
        <f t="shared" ref="EK9" si="223">DATE(EA$5,11,1)</f>
        <v>48153</v>
      </c>
      <c r="EL9" s="18">
        <f t="shared" ref="EL9" si="224">DATE(EA$5,12,1)</f>
        <v>48183</v>
      </c>
      <c r="EM9" s="17">
        <f t="shared" ref="EM9" si="225">EA$5</f>
        <v>2031</v>
      </c>
    </row>
    <row r="10" spans="1:143" x14ac:dyDescent="0.2">
      <c r="C10" s="19" t="s">
        <v>11</v>
      </c>
      <c r="E10" s="20"/>
      <c r="F10" s="20"/>
      <c r="G10" s="20"/>
      <c r="H10" s="20"/>
      <c r="I10" s="20"/>
      <c r="J10" s="20"/>
      <c r="K10" s="20"/>
      <c r="L10" s="20"/>
      <c r="M10" s="20"/>
      <c r="N10" s="20"/>
      <c r="O10" s="20"/>
      <c r="P10" s="20"/>
      <c r="Q10" s="22">
        <f>SUM(E10:P10)</f>
        <v>0</v>
      </c>
      <c r="S10" s="20"/>
      <c r="T10" s="20"/>
      <c r="U10" s="20"/>
      <c r="V10" s="20"/>
      <c r="W10" s="20"/>
      <c r="X10" s="20"/>
      <c r="Y10" s="20"/>
      <c r="Z10" s="20"/>
      <c r="AA10" s="20"/>
      <c r="AB10" s="20"/>
      <c r="AC10" s="20"/>
      <c r="AD10" s="20"/>
      <c r="AE10" s="22">
        <f>SUM(S10:AD10)</f>
        <v>0</v>
      </c>
      <c r="AG10" s="20"/>
      <c r="AH10" s="20"/>
      <c r="AI10" s="20"/>
      <c r="AJ10" s="20"/>
      <c r="AK10" s="20"/>
      <c r="AL10" s="20"/>
      <c r="AM10" s="20"/>
      <c r="AN10" s="20"/>
      <c r="AO10" s="20"/>
      <c r="AP10" s="20"/>
      <c r="AQ10" s="20"/>
      <c r="AR10" s="20"/>
      <c r="AS10" s="22">
        <f t="shared" ref="AS10:AS19" si="226">SUM(AG10:AR10)</f>
        <v>0</v>
      </c>
      <c r="AU10" s="20"/>
      <c r="AV10" s="20"/>
      <c r="AW10" s="20"/>
      <c r="AX10" s="20"/>
      <c r="AY10" s="20"/>
      <c r="AZ10" s="20"/>
      <c r="BA10" s="20"/>
      <c r="BB10" s="20"/>
      <c r="BC10" s="20"/>
      <c r="BD10" s="20"/>
      <c r="BE10" s="20"/>
      <c r="BF10" s="20"/>
      <c r="BG10" s="22">
        <f t="shared" ref="BG10:BG19" si="227">SUM(AU10:BF10)</f>
        <v>0</v>
      </c>
      <c r="BI10" s="20"/>
      <c r="BJ10" s="20"/>
      <c r="BK10" s="20"/>
      <c r="BL10" s="20"/>
      <c r="BM10" s="20"/>
      <c r="BN10" s="20"/>
      <c r="BO10" s="20"/>
      <c r="BP10" s="20"/>
      <c r="BQ10" s="20"/>
      <c r="BR10" s="20"/>
      <c r="BS10" s="20"/>
      <c r="BT10" s="20"/>
      <c r="BU10" s="22">
        <f t="shared" ref="BU10:BU19" si="228">SUM(BI10:BT10)</f>
        <v>0</v>
      </c>
      <c r="BW10" s="20"/>
      <c r="BX10" s="20"/>
      <c r="BY10" s="20"/>
      <c r="BZ10" s="20"/>
      <c r="CA10" s="20"/>
      <c r="CB10" s="20"/>
      <c r="CC10" s="20"/>
      <c r="CD10" s="20"/>
      <c r="CE10" s="20"/>
      <c r="CF10" s="20"/>
      <c r="CG10" s="20"/>
      <c r="CH10" s="20"/>
      <c r="CI10" s="22">
        <f t="shared" ref="CI10:CI19" si="229">SUM(BW10:CH10)</f>
        <v>0</v>
      </c>
      <c r="CK10" s="20"/>
      <c r="CL10" s="20"/>
      <c r="CM10" s="20"/>
      <c r="CN10" s="20"/>
      <c r="CO10" s="20"/>
      <c r="CP10" s="20"/>
      <c r="CQ10" s="20"/>
      <c r="CR10" s="20"/>
      <c r="CS10" s="20"/>
      <c r="CT10" s="20"/>
      <c r="CU10" s="20"/>
      <c r="CV10" s="20"/>
      <c r="CW10" s="22">
        <f t="shared" ref="CW10:CW19" si="230">SUM(CK10:CV10)</f>
        <v>0</v>
      </c>
      <c r="CY10" s="20"/>
      <c r="CZ10" s="20"/>
      <c r="DA10" s="20"/>
      <c r="DB10" s="20"/>
      <c r="DC10" s="20"/>
      <c r="DD10" s="20"/>
      <c r="DE10" s="20"/>
      <c r="DF10" s="20"/>
      <c r="DG10" s="20"/>
      <c r="DH10" s="20"/>
      <c r="DI10" s="20"/>
      <c r="DJ10" s="20"/>
      <c r="DK10" s="22">
        <f t="shared" ref="DK10:DK19" si="231">SUM(CY10:DJ10)</f>
        <v>0</v>
      </c>
      <c r="DM10" s="20"/>
      <c r="DN10" s="20"/>
      <c r="DO10" s="20"/>
      <c r="DP10" s="20"/>
      <c r="DQ10" s="20"/>
      <c r="DR10" s="20"/>
      <c r="DS10" s="20"/>
      <c r="DT10" s="20"/>
      <c r="DU10" s="20"/>
      <c r="DV10" s="20"/>
      <c r="DW10" s="20"/>
      <c r="DX10" s="20"/>
      <c r="DY10" s="22">
        <f t="shared" ref="DY10:DY19" si="232">SUM(DM10:DX10)</f>
        <v>0</v>
      </c>
      <c r="EA10" s="20"/>
      <c r="EB10" s="20"/>
      <c r="EC10" s="20"/>
      <c r="ED10" s="20"/>
      <c r="EE10" s="20"/>
      <c r="EF10" s="20"/>
      <c r="EG10" s="20"/>
      <c r="EH10" s="20"/>
      <c r="EI10" s="20"/>
      <c r="EJ10" s="20"/>
      <c r="EK10" s="20"/>
      <c r="EL10" s="20"/>
      <c r="EM10" s="22">
        <f t="shared" ref="EM10:EM19" si="233">SUM(EA10:EL10)</f>
        <v>0</v>
      </c>
    </row>
    <row r="11" spans="1:143" x14ac:dyDescent="0.2">
      <c r="C11" s="19" t="s">
        <v>11</v>
      </c>
      <c r="E11" s="20"/>
      <c r="F11" s="20"/>
      <c r="G11" s="20"/>
      <c r="H11" s="20"/>
      <c r="I11" s="20"/>
      <c r="J11" s="20"/>
      <c r="K11" s="20"/>
      <c r="L11" s="20"/>
      <c r="M11" s="20"/>
      <c r="N11" s="20"/>
      <c r="O11" s="20"/>
      <c r="P11" s="20"/>
      <c r="Q11" s="22">
        <f t="shared" ref="Q11:Q19" si="234">SUM(E11:P11)</f>
        <v>0</v>
      </c>
      <c r="S11" s="20"/>
      <c r="T11" s="20"/>
      <c r="U11" s="20"/>
      <c r="V11" s="20"/>
      <c r="W11" s="20"/>
      <c r="X11" s="20"/>
      <c r="Y11" s="20"/>
      <c r="Z11" s="20"/>
      <c r="AA11" s="20"/>
      <c r="AB11" s="20"/>
      <c r="AC11" s="20"/>
      <c r="AD11" s="20"/>
      <c r="AE11" s="22">
        <f t="shared" ref="AE11:AE19" si="235">SUM(S11:AD11)</f>
        <v>0</v>
      </c>
      <c r="AG11" s="20"/>
      <c r="AH11" s="20"/>
      <c r="AI11" s="20"/>
      <c r="AJ11" s="20"/>
      <c r="AK11" s="20"/>
      <c r="AL11" s="20"/>
      <c r="AM11" s="20"/>
      <c r="AN11" s="20"/>
      <c r="AO11" s="20"/>
      <c r="AP11" s="20"/>
      <c r="AQ11" s="20"/>
      <c r="AR11" s="20"/>
      <c r="AS11" s="22">
        <f t="shared" si="226"/>
        <v>0</v>
      </c>
      <c r="AU11" s="20"/>
      <c r="AV11" s="20"/>
      <c r="AW11" s="20"/>
      <c r="AX11" s="20"/>
      <c r="AY11" s="20"/>
      <c r="AZ11" s="20"/>
      <c r="BA11" s="20"/>
      <c r="BB11" s="20"/>
      <c r="BC11" s="20"/>
      <c r="BD11" s="20"/>
      <c r="BE11" s="20"/>
      <c r="BF11" s="20"/>
      <c r="BG11" s="22">
        <f t="shared" si="227"/>
        <v>0</v>
      </c>
      <c r="BI11" s="20"/>
      <c r="BJ11" s="20"/>
      <c r="BK11" s="20"/>
      <c r="BL11" s="20"/>
      <c r="BM11" s="20"/>
      <c r="BN11" s="20"/>
      <c r="BO11" s="20"/>
      <c r="BP11" s="20"/>
      <c r="BQ11" s="20"/>
      <c r="BR11" s="20"/>
      <c r="BS11" s="20"/>
      <c r="BT11" s="20"/>
      <c r="BU11" s="22">
        <f t="shared" si="228"/>
        <v>0</v>
      </c>
      <c r="BW11" s="20"/>
      <c r="BX11" s="20"/>
      <c r="BY11" s="20"/>
      <c r="BZ11" s="20"/>
      <c r="CA11" s="20"/>
      <c r="CB11" s="20"/>
      <c r="CC11" s="20"/>
      <c r="CD11" s="20"/>
      <c r="CE11" s="20"/>
      <c r="CF11" s="20"/>
      <c r="CG11" s="20"/>
      <c r="CH11" s="20"/>
      <c r="CI11" s="22">
        <f t="shared" si="229"/>
        <v>0</v>
      </c>
      <c r="CK11" s="20"/>
      <c r="CL11" s="20"/>
      <c r="CM11" s="20"/>
      <c r="CN11" s="20"/>
      <c r="CO11" s="20"/>
      <c r="CP11" s="20"/>
      <c r="CQ11" s="20"/>
      <c r="CR11" s="20"/>
      <c r="CS11" s="20"/>
      <c r="CT11" s="20"/>
      <c r="CU11" s="20"/>
      <c r="CV11" s="20"/>
      <c r="CW11" s="22">
        <f t="shared" si="230"/>
        <v>0</v>
      </c>
      <c r="CY11" s="20"/>
      <c r="CZ11" s="20"/>
      <c r="DA11" s="20"/>
      <c r="DB11" s="20"/>
      <c r="DC11" s="20"/>
      <c r="DD11" s="20"/>
      <c r="DE11" s="20"/>
      <c r="DF11" s="20"/>
      <c r="DG11" s="20"/>
      <c r="DH11" s="20"/>
      <c r="DI11" s="20"/>
      <c r="DJ11" s="20"/>
      <c r="DK11" s="22">
        <f t="shared" si="231"/>
        <v>0</v>
      </c>
      <c r="DM11" s="20"/>
      <c r="DN11" s="20"/>
      <c r="DO11" s="20"/>
      <c r="DP11" s="20"/>
      <c r="DQ11" s="20"/>
      <c r="DR11" s="20"/>
      <c r="DS11" s="20"/>
      <c r="DT11" s="20"/>
      <c r="DU11" s="20"/>
      <c r="DV11" s="20"/>
      <c r="DW11" s="20"/>
      <c r="DX11" s="20"/>
      <c r="DY11" s="22">
        <f t="shared" si="232"/>
        <v>0</v>
      </c>
      <c r="EA11" s="20"/>
      <c r="EB11" s="20"/>
      <c r="EC11" s="20"/>
      <c r="ED11" s="20"/>
      <c r="EE11" s="20"/>
      <c r="EF11" s="20"/>
      <c r="EG11" s="20"/>
      <c r="EH11" s="20"/>
      <c r="EI11" s="20"/>
      <c r="EJ11" s="20"/>
      <c r="EK11" s="20"/>
      <c r="EL11" s="20"/>
      <c r="EM11" s="22">
        <f t="shared" si="233"/>
        <v>0</v>
      </c>
    </row>
    <row r="12" spans="1:143" x14ac:dyDescent="0.2">
      <c r="C12" s="19" t="s">
        <v>11</v>
      </c>
      <c r="E12" s="20"/>
      <c r="F12" s="20"/>
      <c r="G12" s="20"/>
      <c r="H12" s="20"/>
      <c r="I12" s="20"/>
      <c r="J12" s="20"/>
      <c r="K12" s="20"/>
      <c r="L12" s="20"/>
      <c r="M12" s="20"/>
      <c r="N12" s="20"/>
      <c r="O12" s="20"/>
      <c r="P12" s="20"/>
      <c r="Q12" s="22">
        <f t="shared" si="234"/>
        <v>0</v>
      </c>
      <c r="S12" s="20"/>
      <c r="T12" s="20"/>
      <c r="U12" s="20"/>
      <c r="V12" s="20"/>
      <c r="W12" s="20"/>
      <c r="X12" s="20"/>
      <c r="Y12" s="20"/>
      <c r="Z12" s="20"/>
      <c r="AA12" s="20"/>
      <c r="AB12" s="20"/>
      <c r="AC12" s="20"/>
      <c r="AD12" s="20"/>
      <c r="AE12" s="22">
        <f t="shared" si="235"/>
        <v>0</v>
      </c>
      <c r="AG12" s="20"/>
      <c r="AH12" s="20"/>
      <c r="AI12" s="20"/>
      <c r="AJ12" s="20"/>
      <c r="AK12" s="20"/>
      <c r="AL12" s="20"/>
      <c r="AM12" s="20"/>
      <c r="AN12" s="20"/>
      <c r="AO12" s="20"/>
      <c r="AP12" s="20"/>
      <c r="AQ12" s="20"/>
      <c r="AR12" s="20"/>
      <c r="AS12" s="22">
        <f t="shared" si="226"/>
        <v>0</v>
      </c>
      <c r="AU12" s="20"/>
      <c r="AV12" s="20"/>
      <c r="AW12" s="20"/>
      <c r="AX12" s="20"/>
      <c r="AY12" s="20"/>
      <c r="AZ12" s="20"/>
      <c r="BA12" s="20"/>
      <c r="BB12" s="20"/>
      <c r="BC12" s="20"/>
      <c r="BD12" s="20"/>
      <c r="BE12" s="20"/>
      <c r="BF12" s="20"/>
      <c r="BG12" s="22">
        <f t="shared" si="227"/>
        <v>0</v>
      </c>
      <c r="BI12" s="20"/>
      <c r="BJ12" s="20"/>
      <c r="BK12" s="20"/>
      <c r="BL12" s="20"/>
      <c r="BM12" s="20"/>
      <c r="BN12" s="20"/>
      <c r="BO12" s="20"/>
      <c r="BP12" s="20"/>
      <c r="BQ12" s="20"/>
      <c r="BR12" s="20"/>
      <c r="BS12" s="20"/>
      <c r="BT12" s="20"/>
      <c r="BU12" s="22">
        <f t="shared" si="228"/>
        <v>0</v>
      </c>
      <c r="BW12" s="20"/>
      <c r="BX12" s="20"/>
      <c r="BY12" s="20"/>
      <c r="BZ12" s="20"/>
      <c r="CA12" s="20"/>
      <c r="CB12" s="20"/>
      <c r="CC12" s="20"/>
      <c r="CD12" s="20"/>
      <c r="CE12" s="20"/>
      <c r="CF12" s="20"/>
      <c r="CG12" s="20"/>
      <c r="CH12" s="20"/>
      <c r="CI12" s="22">
        <f t="shared" si="229"/>
        <v>0</v>
      </c>
      <c r="CK12" s="20"/>
      <c r="CL12" s="20"/>
      <c r="CM12" s="20"/>
      <c r="CN12" s="20"/>
      <c r="CO12" s="20"/>
      <c r="CP12" s="20"/>
      <c r="CQ12" s="20"/>
      <c r="CR12" s="20"/>
      <c r="CS12" s="20"/>
      <c r="CT12" s="20"/>
      <c r="CU12" s="20"/>
      <c r="CV12" s="20"/>
      <c r="CW12" s="22">
        <f t="shared" si="230"/>
        <v>0</v>
      </c>
      <c r="CY12" s="20"/>
      <c r="CZ12" s="20"/>
      <c r="DA12" s="20"/>
      <c r="DB12" s="20"/>
      <c r="DC12" s="20"/>
      <c r="DD12" s="20"/>
      <c r="DE12" s="20"/>
      <c r="DF12" s="20"/>
      <c r="DG12" s="20"/>
      <c r="DH12" s="20"/>
      <c r="DI12" s="20"/>
      <c r="DJ12" s="20"/>
      <c r="DK12" s="22">
        <f t="shared" si="231"/>
        <v>0</v>
      </c>
      <c r="DM12" s="20"/>
      <c r="DN12" s="20"/>
      <c r="DO12" s="20"/>
      <c r="DP12" s="20"/>
      <c r="DQ12" s="20"/>
      <c r="DR12" s="20"/>
      <c r="DS12" s="20"/>
      <c r="DT12" s="20"/>
      <c r="DU12" s="20"/>
      <c r="DV12" s="20"/>
      <c r="DW12" s="20"/>
      <c r="DX12" s="20"/>
      <c r="DY12" s="22">
        <f t="shared" si="232"/>
        <v>0</v>
      </c>
      <c r="EA12" s="20"/>
      <c r="EB12" s="20"/>
      <c r="EC12" s="20"/>
      <c r="ED12" s="20"/>
      <c r="EE12" s="20"/>
      <c r="EF12" s="20"/>
      <c r="EG12" s="20"/>
      <c r="EH12" s="20"/>
      <c r="EI12" s="20"/>
      <c r="EJ12" s="20"/>
      <c r="EK12" s="20"/>
      <c r="EL12" s="20"/>
      <c r="EM12" s="22">
        <f t="shared" si="233"/>
        <v>0</v>
      </c>
    </row>
    <row r="13" spans="1:143" x14ac:dyDescent="0.2">
      <c r="C13" s="19" t="s">
        <v>11</v>
      </c>
      <c r="E13" s="20"/>
      <c r="F13" s="20"/>
      <c r="G13" s="20"/>
      <c r="H13" s="20"/>
      <c r="I13" s="20"/>
      <c r="J13" s="20"/>
      <c r="K13" s="20"/>
      <c r="L13" s="20"/>
      <c r="M13" s="20"/>
      <c r="N13" s="20"/>
      <c r="O13" s="20"/>
      <c r="P13" s="20"/>
      <c r="Q13" s="22">
        <f t="shared" si="234"/>
        <v>0</v>
      </c>
      <c r="S13" s="20"/>
      <c r="T13" s="20"/>
      <c r="U13" s="20"/>
      <c r="V13" s="20"/>
      <c r="W13" s="20"/>
      <c r="X13" s="20"/>
      <c r="Y13" s="20"/>
      <c r="Z13" s="20"/>
      <c r="AA13" s="20"/>
      <c r="AB13" s="20"/>
      <c r="AC13" s="20"/>
      <c r="AD13" s="20"/>
      <c r="AE13" s="22">
        <f t="shared" si="235"/>
        <v>0</v>
      </c>
      <c r="AG13" s="20"/>
      <c r="AH13" s="20"/>
      <c r="AI13" s="20"/>
      <c r="AJ13" s="20"/>
      <c r="AK13" s="20"/>
      <c r="AL13" s="20"/>
      <c r="AM13" s="20"/>
      <c r="AN13" s="20"/>
      <c r="AO13" s="20"/>
      <c r="AP13" s="20"/>
      <c r="AQ13" s="20"/>
      <c r="AR13" s="20"/>
      <c r="AS13" s="22">
        <f t="shared" si="226"/>
        <v>0</v>
      </c>
      <c r="AU13" s="20"/>
      <c r="AV13" s="20"/>
      <c r="AW13" s="20"/>
      <c r="AX13" s="20"/>
      <c r="AY13" s="20"/>
      <c r="AZ13" s="20"/>
      <c r="BA13" s="20"/>
      <c r="BB13" s="20"/>
      <c r="BC13" s="20"/>
      <c r="BD13" s="20"/>
      <c r="BE13" s="20"/>
      <c r="BF13" s="20"/>
      <c r="BG13" s="22">
        <f t="shared" si="227"/>
        <v>0</v>
      </c>
      <c r="BI13" s="20"/>
      <c r="BJ13" s="20"/>
      <c r="BK13" s="20"/>
      <c r="BL13" s="20"/>
      <c r="BM13" s="20"/>
      <c r="BN13" s="20"/>
      <c r="BO13" s="20"/>
      <c r="BP13" s="20"/>
      <c r="BQ13" s="20"/>
      <c r="BR13" s="20"/>
      <c r="BS13" s="20"/>
      <c r="BT13" s="20"/>
      <c r="BU13" s="22">
        <f t="shared" si="228"/>
        <v>0</v>
      </c>
      <c r="BW13" s="20"/>
      <c r="BX13" s="20"/>
      <c r="BY13" s="20"/>
      <c r="BZ13" s="20"/>
      <c r="CA13" s="20"/>
      <c r="CB13" s="20"/>
      <c r="CC13" s="20"/>
      <c r="CD13" s="20"/>
      <c r="CE13" s="20"/>
      <c r="CF13" s="20"/>
      <c r="CG13" s="20"/>
      <c r="CH13" s="20"/>
      <c r="CI13" s="22">
        <f t="shared" si="229"/>
        <v>0</v>
      </c>
      <c r="CK13" s="20"/>
      <c r="CL13" s="20"/>
      <c r="CM13" s="20"/>
      <c r="CN13" s="20"/>
      <c r="CO13" s="20"/>
      <c r="CP13" s="20"/>
      <c r="CQ13" s="20"/>
      <c r="CR13" s="20"/>
      <c r="CS13" s="20"/>
      <c r="CT13" s="20"/>
      <c r="CU13" s="20"/>
      <c r="CV13" s="20"/>
      <c r="CW13" s="22">
        <f t="shared" si="230"/>
        <v>0</v>
      </c>
      <c r="CY13" s="20"/>
      <c r="CZ13" s="20"/>
      <c r="DA13" s="20"/>
      <c r="DB13" s="20"/>
      <c r="DC13" s="20"/>
      <c r="DD13" s="20"/>
      <c r="DE13" s="20"/>
      <c r="DF13" s="20"/>
      <c r="DG13" s="20"/>
      <c r="DH13" s="20"/>
      <c r="DI13" s="20"/>
      <c r="DJ13" s="20"/>
      <c r="DK13" s="22">
        <f t="shared" si="231"/>
        <v>0</v>
      </c>
      <c r="DM13" s="20"/>
      <c r="DN13" s="20"/>
      <c r="DO13" s="20"/>
      <c r="DP13" s="20"/>
      <c r="DQ13" s="20"/>
      <c r="DR13" s="20"/>
      <c r="DS13" s="20"/>
      <c r="DT13" s="20"/>
      <c r="DU13" s="20"/>
      <c r="DV13" s="20"/>
      <c r="DW13" s="20"/>
      <c r="DX13" s="20"/>
      <c r="DY13" s="22">
        <f t="shared" si="232"/>
        <v>0</v>
      </c>
      <c r="EA13" s="20"/>
      <c r="EB13" s="20"/>
      <c r="EC13" s="20"/>
      <c r="ED13" s="20"/>
      <c r="EE13" s="20"/>
      <c r="EF13" s="20"/>
      <c r="EG13" s="20"/>
      <c r="EH13" s="20"/>
      <c r="EI13" s="20"/>
      <c r="EJ13" s="20"/>
      <c r="EK13" s="20"/>
      <c r="EL13" s="20"/>
      <c r="EM13" s="22">
        <f t="shared" si="233"/>
        <v>0</v>
      </c>
    </row>
    <row r="14" spans="1:143" x14ac:dyDescent="0.2">
      <c r="C14" s="19" t="s">
        <v>11</v>
      </c>
      <c r="E14" s="20"/>
      <c r="F14" s="20"/>
      <c r="G14" s="20"/>
      <c r="H14" s="20"/>
      <c r="I14" s="20"/>
      <c r="J14" s="20"/>
      <c r="K14" s="20"/>
      <c r="L14" s="20"/>
      <c r="M14" s="20"/>
      <c r="N14" s="20"/>
      <c r="O14" s="20"/>
      <c r="P14" s="20"/>
      <c r="Q14" s="22">
        <f t="shared" si="234"/>
        <v>0</v>
      </c>
      <c r="S14" s="20"/>
      <c r="T14" s="20"/>
      <c r="U14" s="20"/>
      <c r="V14" s="20"/>
      <c r="W14" s="20"/>
      <c r="X14" s="20"/>
      <c r="Y14" s="20"/>
      <c r="Z14" s="20"/>
      <c r="AA14" s="20"/>
      <c r="AB14" s="20"/>
      <c r="AC14" s="20"/>
      <c r="AD14" s="20"/>
      <c r="AE14" s="22">
        <f t="shared" si="235"/>
        <v>0</v>
      </c>
      <c r="AG14" s="20"/>
      <c r="AH14" s="20"/>
      <c r="AI14" s="20"/>
      <c r="AJ14" s="20"/>
      <c r="AK14" s="20"/>
      <c r="AL14" s="20"/>
      <c r="AM14" s="20"/>
      <c r="AN14" s="20"/>
      <c r="AO14" s="20"/>
      <c r="AP14" s="20"/>
      <c r="AQ14" s="20"/>
      <c r="AR14" s="20"/>
      <c r="AS14" s="22">
        <f t="shared" si="226"/>
        <v>0</v>
      </c>
      <c r="AU14" s="20"/>
      <c r="AV14" s="20"/>
      <c r="AW14" s="20"/>
      <c r="AX14" s="20"/>
      <c r="AY14" s="20"/>
      <c r="AZ14" s="20"/>
      <c r="BA14" s="20"/>
      <c r="BB14" s="20"/>
      <c r="BC14" s="20"/>
      <c r="BD14" s="20"/>
      <c r="BE14" s="20"/>
      <c r="BF14" s="20"/>
      <c r="BG14" s="22">
        <f t="shared" si="227"/>
        <v>0</v>
      </c>
      <c r="BI14" s="20"/>
      <c r="BJ14" s="20"/>
      <c r="BK14" s="20"/>
      <c r="BL14" s="20"/>
      <c r="BM14" s="20"/>
      <c r="BN14" s="20"/>
      <c r="BO14" s="20"/>
      <c r="BP14" s="20"/>
      <c r="BQ14" s="20"/>
      <c r="BR14" s="20"/>
      <c r="BS14" s="20"/>
      <c r="BT14" s="20"/>
      <c r="BU14" s="22">
        <f t="shared" si="228"/>
        <v>0</v>
      </c>
      <c r="BW14" s="20"/>
      <c r="BX14" s="20"/>
      <c r="BY14" s="20"/>
      <c r="BZ14" s="20"/>
      <c r="CA14" s="20"/>
      <c r="CB14" s="20"/>
      <c r="CC14" s="20"/>
      <c r="CD14" s="20"/>
      <c r="CE14" s="20"/>
      <c r="CF14" s="20"/>
      <c r="CG14" s="20"/>
      <c r="CH14" s="20"/>
      <c r="CI14" s="22">
        <f t="shared" si="229"/>
        <v>0</v>
      </c>
      <c r="CK14" s="20"/>
      <c r="CL14" s="20"/>
      <c r="CM14" s="20"/>
      <c r="CN14" s="20"/>
      <c r="CO14" s="20"/>
      <c r="CP14" s="20"/>
      <c r="CQ14" s="20"/>
      <c r="CR14" s="20"/>
      <c r="CS14" s="20"/>
      <c r="CT14" s="20"/>
      <c r="CU14" s="20"/>
      <c r="CV14" s="20"/>
      <c r="CW14" s="22">
        <f t="shared" si="230"/>
        <v>0</v>
      </c>
      <c r="CY14" s="20"/>
      <c r="CZ14" s="20"/>
      <c r="DA14" s="20"/>
      <c r="DB14" s="20"/>
      <c r="DC14" s="20"/>
      <c r="DD14" s="20"/>
      <c r="DE14" s="20"/>
      <c r="DF14" s="20"/>
      <c r="DG14" s="20"/>
      <c r="DH14" s="20"/>
      <c r="DI14" s="20"/>
      <c r="DJ14" s="20"/>
      <c r="DK14" s="22">
        <f t="shared" si="231"/>
        <v>0</v>
      </c>
      <c r="DM14" s="20"/>
      <c r="DN14" s="20"/>
      <c r="DO14" s="20"/>
      <c r="DP14" s="20"/>
      <c r="DQ14" s="20"/>
      <c r="DR14" s="20"/>
      <c r="DS14" s="20"/>
      <c r="DT14" s="20"/>
      <c r="DU14" s="20"/>
      <c r="DV14" s="20"/>
      <c r="DW14" s="20"/>
      <c r="DX14" s="20"/>
      <c r="DY14" s="22">
        <f t="shared" si="232"/>
        <v>0</v>
      </c>
      <c r="EA14" s="20"/>
      <c r="EB14" s="20"/>
      <c r="EC14" s="20"/>
      <c r="ED14" s="20"/>
      <c r="EE14" s="20"/>
      <c r="EF14" s="20"/>
      <c r="EG14" s="20"/>
      <c r="EH14" s="20"/>
      <c r="EI14" s="20"/>
      <c r="EJ14" s="20"/>
      <c r="EK14" s="20"/>
      <c r="EL14" s="20"/>
      <c r="EM14" s="22">
        <f t="shared" si="233"/>
        <v>0</v>
      </c>
    </row>
    <row r="15" spans="1:143" x14ac:dyDescent="0.2">
      <c r="C15" s="19" t="s">
        <v>11</v>
      </c>
      <c r="E15" s="20"/>
      <c r="F15" s="20"/>
      <c r="G15" s="20"/>
      <c r="H15" s="20"/>
      <c r="I15" s="20"/>
      <c r="J15" s="20"/>
      <c r="K15" s="20"/>
      <c r="L15" s="20"/>
      <c r="M15" s="20"/>
      <c r="N15" s="20"/>
      <c r="O15" s="20"/>
      <c r="P15" s="20"/>
      <c r="Q15" s="22">
        <f t="shared" si="234"/>
        <v>0</v>
      </c>
      <c r="S15" s="20"/>
      <c r="T15" s="20"/>
      <c r="U15" s="20"/>
      <c r="V15" s="20"/>
      <c r="W15" s="20"/>
      <c r="X15" s="20"/>
      <c r="Y15" s="20"/>
      <c r="Z15" s="20"/>
      <c r="AA15" s="20"/>
      <c r="AB15" s="20"/>
      <c r="AC15" s="20"/>
      <c r="AD15" s="20"/>
      <c r="AE15" s="22">
        <f t="shared" si="235"/>
        <v>0</v>
      </c>
      <c r="AG15" s="20"/>
      <c r="AH15" s="20"/>
      <c r="AI15" s="20"/>
      <c r="AJ15" s="20"/>
      <c r="AK15" s="20"/>
      <c r="AL15" s="20"/>
      <c r="AM15" s="20"/>
      <c r="AN15" s="20"/>
      <c r="AO15" s="20"/>
      <c r="AP15" s="20"/>
      <c r="AQ15" s="20"/>
      <c r="AR15" s="20"/>
      <c r="AS15" s="22">
        <f t="shared" si="226"/>
        <v>0</v>
      </c>
      <c r="AU15" s="20"/>
      <c r="AV15" s="20"/>
      <c r="AW15" s="20"/>
      <c r="AX15" s="20"/>
      <c r="AY15" s="20"/>
      <c r="AZ15" s="20"/>
      <c r="BA15" s="20"/>
      <c r="BB15" s="20"/>
      <c r="BC15" s="20"/>
      <c r="BD15" s="20"/>
      <c r="BE15" s="20"/>
      <c r="BF15" s="20"/>
      <c r="BG15" s="22">
        <f t="shared" si="227"/>
        <v>0</v>
      </c>
      <c r="BI15" s="20"/>
      <c r="BJ15" s="20"/>
      <c r="BK15" s="20"/>
      <c r="BL15" s="20"/>
      <c r="BM15" s="20"/>
      <c r="BN15" s="20"/>
      <c r="BO15" s="20"/>
      <c r="BP15" s="20"/>
      <c r="BQ15" s="20"/>
      <c r="BR15" s="20"/>
      <c r="BS15" s="20"/>
      <c r="BT15" s="20"/>
      <c r="BU15" s="22">
        <f t="shared" si="228"/>
        <v>0</v>
      </c>
      <c r="BW15" s="20"/>
      <c r="BX15" s="20"/>
      <c r="BY15" s="20"/>
      <c r="BZ15" s="20"/>
      <c r="CA15" s="20"/>
      <c r="CB15" s="20"/>
      <c r="CC15" s="20"/>
      <c r="CD15" s="20"/>
      <c r="CE15" s="20"/>
      <c r="CF15" s="20"/>
      <c r="CG15" s="20"/>
      <c r="CH15" s="20"/>
      <c r="CI15" s="22">
        <f t="shared" si="229"/>
        <v>0</v>
      </c>
      <c r="CK15" s="20"/>
      <c r="CL15" s="20"/>
      <c r="CM15" s="20"/>
      <c r="CN15" s="20"/>
      <c r="CO15" s="20"/>
      <c r="CP15" s="20"/>
      <c r="CQ15" s="20"/>
      <c r="CR15" s="20"/>
      <c r="CS15" s="20"/>
      <c r="CT15" s="20"/>
      <c r="CU15" s="20"/>
      <c r="CV15" s="20"/>
      <c r="CW15" s="22">
        <f t="shared" si="230"/>
        <v>0</v>
      </c>
      <c r="CY15" s="20"/>
      <c r="CZ15" s="20"/>
      <c r="DA15" s="20"/>
      <c r="DB15" s="20"/>
      <c r="DC15" s="20"/>
      <c r="DD15" s="20"/>
      <c r="DE15" s="20"/>
      <c r="DF15" s="20"/>
      <c r="DG15" s="20"/>
      <c r="DH15" s="20"/>
      <c r="DI15" s="20"/>
      <c r="DJ15" s="20"/>
      <c r="DK15" s="22">
        <f t="shared" si="231"/>
        <v>0</v>
      </c>
      <c r="DM15" s="20"/>
      <c r="DN15" s="20"/>
      <c r="DO15" s="20"/>
      <c r="DP15" s="20"/>
      <c r="DQ15" s="20"/>
      <c r="DR15" s="20"/>
      <c r="DS15" s="20"/>
      <c r="DT15" s="20"/>
      <c r="DU15" s="20"/>
      <c r="DV15" s="20"/>
      <c r="DW15" s="20"/>
      <c r="DX15" s="20"/>
      <c r="DY15" s="22">
        <f t="shared" si="232"/>
        <v>0</v>
      </c>
      <c r="EA15" s="20"/>
      <c r="EB15" s="20"/>
      <c r="EC15" s="20"/>
      <c r="ED15" s="20"/>
      <c r="EE15" s="20"/>
      <c r="EF15" s="20"/>
      <c r="EG15" s="20"/>
      <c r="EH15" s="20"/>
      <c r="EI15" s="20"/>
      <c r="EJ15" s="20"/>
      <c r="EK15" s="20"/>
      <c r="EL15" s="20"/>
      <c r="EM15" s="22">
        <f t="shared" si="233"/>
        <v>0</v>
      </c>
    </row>
    <row r="16" spans="1:143" x14ac:dyDescent="0.2">
      <c r="C16" s="19" t="s">
        <v>11</v>
      </c>
      <c r="E16" s="20"/>
      <c r="F16" s="20"/>
      <c r="G16" s="20"/>
      <c r="H16" s="20"/>
      <c r="I16" s="20"/>
      <c r="J16" s="20"/>
      <c r="K16" s="20"/>
      <c r="L16" s="20"/>
      <c r="M16" s="20"/>
      <c r="N16" s="20"/>
      <c r="O16" s="20"/>
      <c r="P16" s="20"/>
      <c r="Q16" s="22">
        <f t="shared" si="234"/>
        <v>0</v>
      </c>
      <c r="S16" s="20"/>
      <c r="T16" s="20"/>
      <c r="U16" s="20"/>
      <c r="V16" s="20"/>
      <c r="W16" s="20"/>
      <c r="X16" s="20"/>
      <c r="Y16" s="20"/>
      <c r="Z16" s="20"/>
      <c r="AA16" s="20"/>
      <c r="AB16" s="20"/>
      <c r="AC16" s="20"/>
      <c r="AD16" s="20"/>
      <c r="AE16" s="22">
        <f t="shared" si="235"/>
        <v>0</v>
      </c>
      <c r="AG16" s="20"/>
      <c r="AH16" s="20"/>
      <c r="AI16" s="20"/>
      <c r="AJ16" s="20"/>
      <c r="AK16" s="20"/>
      <c r="AL16" s="20"/>
      <c r="AM16" s="20"/>
      <c r="AN16" s="20"/>
      <c r="AO16" s="20"/>
      <c r="AP16" s="20"/>
      <c r="AQ16" s="20"/>
      <c r="AR16" s="20"/>
      <c r="AS16" s="22">
        <f t="shared" si="226"/>
        <v>0</v>
      </c>
      <c r="AU16" s="20"/>
      <c r="AV16" s="20"/>
      <c r="AW16" s="20"/>
      <c r="AX16" s="20"/>
      <c r="AY16" s="20"/>
      <c r="AZ16" s="20"/>
      <c r="BA16" s="20"/>
      <c r="BB16" s="20"/>
      <c r="BC16" s="20"/>
      <c r="BD16" s="20"/>
      <c r="BE16" s="20"/>
      <c r="BF16" s="20"/>
      <c r="BG16" s="22">
        <f t="shared" si="227"/>
        <v>0</v>
      </c>
      <c r="BI16" s="20"/>
      <c r="BJ16" s="20"/>
      <c r="BK16" s="20"/>
      <c r="BL16" s="20"/>
      <c r="BM16" s="20"/>
      <c r="BN16" s="20"/>
      <c r="BO16" s="20"/>
      <c r="BP16" s="20"/>
      <c r="BQ16" s="20"/>
      <c r="BR16" s="20"/>
      <c r="BS16" s="20"/>
      <c r="BT16" s="20"/>
      <c r="BU16" s="22">
        <f t="shared" si="228"/>
        <v>0</v>
      </c>
      <c r="BW16" s="20"/>
      <c r="BX16" s="20"/>
      <c r="BY16" s="20"/>
      <c r="BZ16" s="20"/>
      <c r="CA16" s="20"/>
      <c r="CB16" s="20"/>
      <c r="CC16" s="20"/>
      <c r="CD16" s="20"/>
      <c r="CE16" s="20"/>
      <c r="CF16" s="20"/>
      <c r="CG16" s="20"/>
      <c r="CH16" s="20"/>
      <c r="CI16" s="22">
        <f t="shared" si="229"/>
        <v>0</v>
      </c>
      <c r="CK16" s="20"/>
      <c r="CL16" s="20"/>
      <c r="CM16" s="20"/>
      <c r="CN16" s="20"/>
      <c r="CO16" s="20"/>
      <c r="CP16" s="20"/>
      <c r="CQ16" s="20"/>
      <c r="CR16" s="20"/>
      <c r="CS16" s="20"/>
      <c r="CT16" s="20"/>
      <c r="CU16" s="20"/>
      <c r="CV16" s="20"/>
      <c r="CW16" s="22">
        <f t="shared" si="230"/>
        <v>0</v>
      </c>
      <c r="CY16" s="20"/>
      <c r="CZ16" s="20"/>
      <c r="DA16" s="20"/>
      <c r="DB16" s="20"/>
      <c r="DC16" s="20"/>
      <c r="DD16" s="20"/>
      <c r="DE16" s="20"/>
      <c r="DF16" s="20"/>
      <c r="DG16" s="20"/>
      <c r="DH16" s="20"/>
      <c r="DI16" s="20"/>
      <c r="DJ16" s="20"/>
      <c r="DK16" s="22">
        <f t="shared" si="231"/>
        <v>0</v>
      </c>
      <c r="DM16" s="20"/>
      <c r="DN16" s="20"/>
      <c r="DO16" s="20"/>
      <c r="DP16" s="20"/>
      <c r="DQ16" s="20"/>
      <c r="DR16" s="20"/>
      <c r="DS16" s="20"/>
      <c r="DT16" s="20"/>
      <c r="DU16" s="20"/>
      <c r="DV16" s="20"/>
      <c r="DW16" s="20"/>
      <c r="DX16" s="20"/>
      <c r="DY16" s="22">
        <f t="shared" si="232"/>
        <v>0</v>
      </c>
      <c r="EA16" s="20"/>
      <c r="EB16" s="20"/>
      <c r="EC16" s="20"/>
      <c r="ED16" s="20"/>
      <c r="EE16" s="20"/>
      <c r="EF16" s="20"/>
      <c r="EG16" s="20"/>
      <c r="EH16" s="20"/>
      <c r="EI16" s="20"/>
      <c r="EJ16" s="20"/>
      <c r="EK16" s="20"/>
      <c r="EL16" s="20"/>
      <c r="EM16" s="22">
        <f t="shared" si="233"/>
        <v>0</v>
      </c>
    </row>
    <row r="17" spans="3:143" x14ac:dyDescent="0.2">
      <c r="C17" s="19" t="s">
        <v>11</v>
      </c>
      <c r="E17" s="20"/>
      <c r="F17" s="20"/>
      <c r="G17" s="20"/>
      <c r="H17" s="20"/>
      <c r="I17" s="20"/>
      <c r="J17" s="20"/>
      <c r="K17" s="20"/>
      <c r="L17" s="20"/>
      <c r="M17" s="20"/>
      <c r="N17" s="20"/>
      <c r="O17" s="20"/>
      <c r="P17" s="20"/>
      <c r="Q17" s="22">
        <f t="shared" si="234"/>
        <v>0</v>
      </c>
      <c r="S17" s="20"/>
      <c r="T17" s="20"/>
      <c r="U17" s="20"/>
      <c r="V17" s="20"/>
      <c r="W17" s="20"/>
      <c r="X17" s="20"/>
      <c r="Y17" s="20"/>
      <c r="Z17" s="20"/>
      <c r="AA17" s="20"/>
      <c r="AB17" s="20"/>
      <c r="AC17" s="20"/>
      <c r="AD17" s="20"/>
      <c r="AE17" s="22">
        <f t="shared" si="235"/>
        <v>0</v>
      </c>
      <c r="AG17" s="20"/>
      <c r="AH17" s="20"/>
      <c r="AI17" s="20"/>
      <c r="AJ17" s="20"/>
      <c r="AK17" s="20"/>
      <c r="AL17" s="20"/>
      <c r="AM17" s="20"/>
      <c r="AN17" s="20"/>
      <c r="AO17" s="20"/>
      <c r="AP17" s="20"/>
      <c r="AQ17" s="20"/>
      <c r="AR17" s="20"/>
      <c r="AS17" s="22">
        <f t="shared" si="226"/>
        <v>0</v>
      </c>
      <c r="AU17" s="20"/>
      <c r="AV17" s="20"/>
      <c r="AW17" s="20"/>
      <c r="AX17" s="20"/>
      <c r="AY17" s="20"/>
      <c r="AZ17" s="20"/>
      <c r="BA17" s="20"/>
      <c r="BB17" s="20"/>
      <c r="BC17" s="20"/>
      <c r="BD17" s="20"/>
      <c r="BE17" s="20"/>
      <c r="BF17" s="20"/>
      <c r="BG17" s="22">
        <f t="shared" si="227"/>
        <v>0</v>
      </c>
      <c r="BI17" s="20"/>
      <c r="BJ17" s="20"/>
      <c r="BK17" s="20"/>
      <c r="BL17" s="20"/>
      <c r="BM17" s="20"/>
      <c r="BN17" s="20"/>
      <c r="BO17" s="20"/>
      <c r="BP17" s="20"/>
      <c r="BQ17" s="20"/>
      <c r="BR17" s="20"/>
      <c r="BS17" s="20"/>
      <c r="BT17" s="20"/>
      <c r="BU17" s="22">
        <f t="shared" si="228"/>
        <v>0</v>
      </c>
      <c r="BW17" s="20"/>
      <c r="BX17" s="20"/>
      <c r="BY17" s="20"/>
      <c r="BZ17" s="20"/>
      <c r="CA17" s="20"/>
      <c r="CB17" s="20"/>
      <c r="CC17" s="20"/>
      <c r="CD17" s="20"/>
      <c r="CE17" s="20"/>
      <c r="CF17" s="20"/>
      <c r="CG17" s="20"/>
      <c r="CH17" s="20"/>
      <c r="CI17" s="22">
        <f t="shared" si="229"/>
        <v>0</v>
      </c>
      <c r="CK17" s="20"/>
      <c r="CL17" s="20"/>
      <c r="CM17" s="20"/>
      <c r="CN17" s="20"/>
      <c r="CO17" s="20"/>
      <c r="CP17" s="20"/>
      <c r="CQ17" s="20"/>
      <c r="CR17" s="20"/>
      <c r="CS17" s="20"/>
      <c r="CT17" s="20"/>
      <c r="CU17" s="20"/>
      <c r="CV17" s="20"/>
      <c r="CW17" s="22">
        <f t="shared" si="230"/>
        <v>0</v>
      </c>
      <c r="CY17" s="20"/>
      <c r="CZ17" s="20"/>
      <c r="DA17" s="20"/>
      <c r="DB17" s="20"/>
      <c r="DC17" s="20"/>
      <c r="DD17" s="20"/>
      <c r="DE17" s="20"/>
      <c r="DF17" s="20"/>
      <c r="DG17" s="20"/>
      <c r="DH17" s="20"/>
      <c r="DI17" s="20"/>
      <c r="DJ17" s="20"/>
      <c r="DK17" s="22">
        <f t="shared" si="231"/>
        <v>0</v>
      </c>
      <c r="DM17" s="20"/>
      <c r="DN17" s="20"/>
      <c r="DO17" s="20"/>
      <c r="DP17" s="20"/>
      <c r="DQ17" s="20"/>
      <c r="DR17" s="20"/>
      <c r="DS17" s="20"/>
      <c r="DT17" s="20"/>
      <c r="DU17" s="20"/>
      <c r="DV17" s="20"/>
      <c r="DW17" s="20"/>
      <c r="DX17" s="20"/>
      <c r="DY17" s="22">
        <f t="shared" si="232"/>
        <v>0</v>
      </c>
      <c r="EA17" s="20"/>
      <c r="EB17" s="20"/>
      <c r="EC17" s="20"/>
      <c r="ED17" s="20"/>
      <c r="EE17" s="20"/>
      <c r="EF17" s="20"/>
      <c r="EG17" s="20"/>
      <c r="EH17" s="20"/>
      <c r="EI17" s="20"/>
      <c r="EJ17" s="20"/>
      <c r="EK17" s="20"/>
      <c r="EL17" s="20"/>
      <c r="EM17" s="22">
        <f t="shared" si="233"/>
        <v>0</v>
      </c>
    </row>
    <row r="18" spans="3:143" x14ac:dyDescent="0.2">
      <c r="C18" s="19" t="s">
        <v>11</v>
      </c>
      <c r="E18" s="20"/>
      <c r="F18" s="20"/>
      <c r="G18" s="20"/>
      <c r="H18" s="20"/>
      <c r="I18" s="20"/>
      <c r="J18" s="20"/>
      <c r="K18" s="20"/>
      <c r="L18" s="20"/>
      <c r="M18" s="20"/>
      <c r="N18" s="20"/>
      <c r="O18" s="20"/>
      <c r="P18" s="20"/>
      <c r="Q18" s="22">
        <f t="shared" si="234"/>
        <v>0</v>
      </c>
      <c r="S18" s="20"/>
      <c r="T18" s="20"/>
      <c r="U18" s="20"/>
      <c r="V18" s="20"/>
      <c r="W18" s="20"/>
      <c r="X18" s="20"/>
      <c r="Y18" s="20"/>
      <c r="Z18" s="20"/>
      <c r="AA18" s="20"/>
      <c r="AB18" s="20"/>
      <c r="AC18" s="20"/>
      <c r="AD18" s="20"/>
      <c r="AE18" s="22">
        <f t="shared" si="235"/>
        <v>0</v>
      </c>
      <c r="AG18" s="20"/>
      <c r="AH18" s="20"/>
      <c r="AI18" s="20"/>
      <c r="AJ18" s="20"/>
      <c r="AK18" s="20"/>
      <c r="AL18" s="20"/>
      <c r="AM18" s="20"/>
      <c r="AN18" s="20"/>
      <c r="AO18" s="20"/>
      <c r="AP18" s="20"/>
      <c r="AQ18" s="20"/>
      <c r="AR18" s="20"/>
      <c r="AS18" s="22">
        <f t="shared" si="226"/>
        <v>0</v>
      </c>
      <c r="AU18" s="20"/>
      <c r="AV18" s="20"/>
      <c r="AW18" s="20"/>
      <c r="AX18" s="20"/>
      <c r="AY18" s="20"/>
      <c r="AZ18" s="20"/>
      <c r="BA18" s="20"/>
      <c r="BB18" s="20"/>
      <c r="BC18" s="20"/>
      <c r="BD18" s="20"/>
      <c r="BE18" s="20"/>
      <c r="BF18" s="20"/>
      <c r="BG18" s="22">
        <f t="shared" si="227"/>
        <v>0</v>
      </c>
      <c r="BI18" s="20"/>
      <c r="BJ18" s="20"/>
      <c r="BK18" s="20"/>
      <c r="BL18" s="20"/>
      <c r="BM18" s="20"/>
      <c r="BN18" s="20"/>
      <c r="BO18" s="20"/>
      <c r="BP18" s="20"/>
      <c r="BQ18" s="20"/>
      <c r="BR18" s="20"/>
      <c r="BS18" s="20"/>
      <c r="BT18" s="20"/>
      <c r="BU18" s="22">
        <f t="shared" si="228"/>
        <v>0</v>
      </c>
      <c r="BW18" s="20"/>
      <c r="BX18" s="20"/>
      <c r="BY18" s="20"/>
      <c r="BZ18" s="20"/>
      <c r="CA18" s="20"/>
      <c r="CB18" s="20"/>
      <c r="CC18" s="20"/>
      <c r="CD18" s="20"/>
      <c r="CE18" s="20"/>
      <c r="CF18" s="20"/>
      <c r="CG18" s="20"/>
      <c r="CH18" s="20"/>
      <c r="CI18" s="22">
        <f t="shared" si="229"/>
        <v>0</v>
      </c>
      <c r="CK18" s="20"/>
      <c r="CL18" s="20"/>
      <c r="CM18" s="20"/>
      <c r="CN18" s="20"/>
      <c r="CO18" s="20"/>
      <c r="CP18" s="20"/>
      <c r="CQ18" s="20"/>
      <c r="CR18" s="20"/>
      <c r="CS18" s="20"/>
      <c r="CT18" s="20"/>
      <c r="CU18" s="20"/>
      <c r="CV18" s="20"/>
      <c r="CW18" s="22">
        <f t="shared" si="230"/>
        <v>0</v>
      </c>
      <c r="CY18" s="20"/>
      <c r="CZ18" s="20"/>
      <c r="DA18" s="20"/>
      <c r="DB18" s="20"/>
      <c r="DC18" s="20"/>
      <c r="DD18" s="20"/>
      <c r="DE18" s="20"/>
      <c r="DF18" s="20"/>
      <c r="DG18" s="20"/>
      <c r="DH18" s="20"/>
      <c r="DI18" s="20"/>
      <c r="DJ18" s="20"/>
      <c r="DK18" s="22">
        <f t="shared" si="231"/>
        <v>0</v>
      </c>
      <c r="DM18" s="20"/>
      <c r="DN18" s="20"/>
      <c r="DO18" s="20"/>
      <c r="DP18" s="20"/>
      <c r="DQ18" s="20"/>
      <c r="DR18" s="20"/>
      <c r="DS18" s="20"/>
      <c r="DT18" s="20"/>
      <c r="DU18" s="20"/>
      <c r="DV18" s="20"/>
      <c r="DW18" s="20"/>
      <c r="DX18" s="20"/>
      <c r="DY18" s="22">
        <f t="shared" si="232"/>
        <v>0</v>
      </c>
      <c r="EA18" s="20"/>
      <c r="EB18" s="20"/>
      <c r="EC18" s="20"/>
      <c r="ED18" s="20"/>
      <c r="EE18" s="20"/>
      <c r="EF18" s="20"/>
      <c r="EG18" s="20"/>
      <c r="EH18" s="20"/>
      <c r="EI18" s="20"/>
      <c r="EJ18" s="20"/>
      <c r="EK18" s="20"/>
      <c r="EL18" s="20"/>
      <c r="EM18" s="22">
        <f t="shared" si="233"/>
        <v>0</v>
      </c>
    </row>
    <row r="19" spans="3:143" x14ac:dyDescent="0.2">
      <c r="C19" s="19" t="s">
        <v>11</v>
      </c>
      <c r="E19" s="20"/>
      <c r="F19" s="20"/>
      <c r="G19" s="20"/>
      <c r="H19" s="20"/>
      <c r="I19" s="20"/>
      <c r="J19" s="20"/>
      <c r="K19" s="20"/>
      <c r="L19" s="20"/>
      <c r="M19" s="20"/>
      <c r="N19" s="20"/>
      <c r="O19" s="20"/>
      <c r="P19" s="20"/>
      <c r="Q19" s="22">
        <f t="shared" si="234"/>
        <v>0</v>
      </c>
      <c r="S19" s="20"/>
      <c r="T19" s="20"/>
      <c r="U19" s="20"/>
      <c r="V19" s="20"/>
      <c r="W19" s="20"/>
      <c r="X19" s="20"/>
      <c r="Y19" s="20"/>
      <c r="Z19" s="20"/>
      <c r="AA19" s="20"/>
      <c r="AB19" s="20"/>
      <c r="AC19" s="20"/>
      <c r="AD19" s="20"/>
      <c r="AE19" s="22">
        <f t="shared" si="235"/>
        <v>0</v>
      </c>
      <c r="AG19" s="20"/>
      <c r="AH19" s="20"/>
      <c r="AI19" s="20"/>
      <c r="AJ19" s="20"/>
      <c r="AK19" s="20"/>
      <c r="AL19" s="20"/>
      <c r="AM19" s="20"/>
      <c r="AN19" s="20"/>
      <c r="AO19" s="20"/>
      <c r="AP19" s="20"/>
      <c r="AQ19" s="20"/>
      <c r="AR19" s="20"/>
      <c r="AS19" s="22">
        <f t="shared" si="226"/>
        <v>0</v>
      </c>
      <c r="AU19" s="20"/>
      <c r="AV19" s="20"/>
      <c r="AW19" s="20"/>
      <c r="AX19" s="20"/>
      <c r="AY19" s="20"/>
      <c r="AZ19" s="20"/>
      <c r="BA19" s="20"/>
      <c r="BB19" s="20"/>
      <c r="BC19" s="20"/>
      <c r="BD19" s="20"/>
      <c r="BE19" s="20"/>
      <c r="BF19" s="20"/>
      <c r="BG19" s="22">
        <f t="shared" si="227"/>
        <v>0</v>
      </c>
      <c r="BI19" s="20"/>
      <c r="BJ19" s="20"/>
      <c r="BK19" s="20"/>
      <c r="BL19" s="20"/>
      <c r="BM19" s="20"/>
      <c r="BN19" s="20"/>
      <c r="BO19" s="20"/>
      <c r="BP19" s="20"/>
      <c r="BQ19" s="20"/>
      <c r="BR19" s="20"/>
      <c r="BS19" s="20"/>
      <c r="BT19" s="20"/>
      <c r="BU19" s="22">
        <f t="shared" si="228"/>
        <v>0</v>
      </c>
      <c r="BW19" s="20"/>
      <c r="BX19" s="20"/>
      <c r="BY19" s="20"/>
      <c r="BZ19" s="20"/>
      <c r="CA19" s="20"/>
      <c r="CB19" s="20"/>
      <c r="CC19" s="20"/>
      <c r="CD19" s="20"/>
      <c r="CE19" s="20"/>
      <c r="CF19" s="20"/>
      <c r="CG19" s="20"/>
      <c r="CH19" s="20"/>
      <c r="CI19" s="22">
        <f t="shared" si="229"/>
        <v>0</v>
      </c>
      <c r="CK19" s="20"/>
      <c r="CL19" s="20"/>
      <c r="CM19" s="20"/>
      <c r="CN19" s="20"/>
      <c r="CO19" s="20"/>
      <c r="CP19" s="20"/>
      <c r="CQ19" s="20"/>
      <c r="CR19" s="20"/>
      <c r="CS19" s="20"/>
      <c r="CT19" s="20"/>
      <c r="CU19" s="20"/>
      <c r="CV19" s="20"/>
      <c r="CW19" s="22">
        <f t="shared" si="230"/>
        <v>0</v>
      </c>
      <c r="CY19" s="20"/>
      <c r="CZ19" s="20"/>
      <c r="DA19" s="20"/>
      <c r="DB19" s="20"/>
      <c r="DC19" s="20"/>
      <c r="DD19" s="20"/>
      <c r="DE19" s="20"/>
      <c r="DF19" s="20"/>
      <c r="DG19" s="20"/>
      <c r="DH19" s="20"/>
      <c r="DI19" s="20"/>
      <c r="DJ19" s="20"/>
      <c r="DK19" s="22">
        <f t="shared" si="231"/>
        <v>0</v>
      </c>
      <c r="DM19" s="20"/>
      <c r="DN19" s="20"/>
      <c r="DO19" s="20"/>
      <c r="DP19" s="20"/>
      <c r="DQ19" s="20"/>
      <c r="DR19" s="20"/>
      <c r="DS19" s="20"/>
      <c r="DT19" s="20"/>
      <c r="DU19" s="20"/>
      <c r="DV19" s="20"/>
      <c r="DW19" s="20"/>
      <c r="DX19" s="20"/>
      <c r="DY19" s="22">
        <f t="shared" si="232"/>
        <v>0</v>
      </c>
      <c r="EA19" s="20"/>
      <c r="EB19" s="20"/>
      <c r="EC19" s="20"/>
      <c r="ED19" s="20"/>
      <c r="EE19" s="20"/>
      <c r="EF19" s="20"/>
      <c r="EG19" s="20"/>
      <c r="EH19" s="20"/>
      <c r="EI19" s="20"/>
      <c r="EJ19" s="20"/>
      <c r="EK19" s="20"/>
      <c r="EL19" s="20"/>
      <c r="EM19" s="22">
        <f t="shared" si="233"/>
        <v>0</v>
      </c>
    </row>
    <row r="20" spans="3:143" x14ac:dyDescent="0.2">
      <c r="C20" s="16" t="s">
        <v>12</v>
      </c>
      <c r="E20" s="21" cm="1">
        <f t="array" aca="1" ref="E20" ca="1">SUM(INDIRECT(ADDRESS(income_min_row, COLUMN()) &amp; ":" &amp; ADDRESS(income_max_row, COLUMN())))</f>
        <v>0</v>
      </c>
      <c r="F20" s="21" cm="1">
        <f t="array" aca="1" ref="F20" ca="1">SUM(INDIRECT(ADDRESS(income_min_row, COLUMN()) &amp; ":" &amp; ADDRESS(income_max_row, COLUMN())))</f>
        <v>0</v>
      </c>
      <c r="G20" s="21" cm="1">
        <f t="array" aca="1" ref="G20" ca="1">SUM(INDIRECT(ADDRESS(income_min_row, COLUMN()) &amp; ":" &amp; ADDRESS(income_max_row, COLUMN())))</f>
        <v>0</v>
      </c>
      <c r="H20" s="21" cm="1">
        <f t="array" aca="1" ref="H20" ca="1">SUM(INDIRECT(ADDRESS(income_min_row, COLUMN()) &amp; ":" &amp; ADDRESS(income_max_row, COLUMN())))</f>
        <v>0</v>
      </c>
      <c r="I20" s="21" cm="1">
        <f t="array" aca="1" ref="I20" ca="1">SUM(INDIRECT(ADDRESS(income_min_row, COLUMN()) &amp; ":" &amp; ADDRESS(income_max_row, COLUMN())))</f>
        <v>0</v>
      </c>
      <c r="J20" s="21" cm="1">
        <f t="array" aca="1" ref="J20" ca="1">SUM(INDIRECT(ADDRESS(income_min_row, COLUMN()) &amp; ":" &amp; ADDRESS(income_max_row, COLUMN())))</f>
        <v>0</v>
      </c>
      <c r="K20" s="21" cm="1">
        <f t="array" aca="1" ref="K20" ca="1">SUM(INDIRECT(ADDRESS(income_min_row, COLUMN()) &amp; ":" &amp; ADDRESS(income_max_row, COLUMN())))</f>
        <v>0</v>
      </c>
      <c r="L20" s="21" cm="1">
        <f t="array" aca="1" ref="L20" ca="1">SUM(INDIRECT(ADDRESS(income_min_row, COLUMN()) &amp; ":" &amp; ADDRESS(income_max_row, COLUMN())))</f>
        <v>0</v>
      </c>
      <c r="M20" s="21" cm="1">
        <f t="array" aca="1" ref="M20" ca="1">SUM(INDIRECT(ADDRESS(income_min_row, COLUMN()) &amp; ":" &amp; ADDRESS(income_max_row, COLUMN())))</f>
        <v>0</v>
      </c>
      <c r="N20" s="21" cm="1">
        <f t="array" aca="1" ref="N20" ca="1">SUM(INDIRECT(ADDRESS(income_min_row, COLUMN()) &amp; ":" &amp; ADDRESS(income_max_row, COLUMN())))</f>
        <v>0</v>
      </c>
      <c r="O20" s="21" cm="1">
        <f t="array" aca="1" ref="O20" ca="1">SUM(INDIRECT(ADDRESS(income_min_row, COLUMN()) &amp; ":" &amp; ADDRESS(income_max_row, COLUMN())))</f>
        <v>0</v>
      </c>
      <c r="P20" s="21" cm="1">
        <f t="array" aca="1" ref="P20" ca="1">SUM(INDIRECT(ADDRESS(income_min_row, COLUMN()) &amp; ":" &amp; ADDRESS(income_max_row, COLUMN())))</f>
        <v>0</v>
      </c>
      <c r="Q20" s="21" cm="1">
        <f t="array" aca="1" ref="Q20" ca="1">SUM(INDIRECT(ADDRESS(income_min_row, COLUMN()) &amp; ":" &amp; ADDRESS(income_max_row, COLUMN())))</f>
        <v>0</v>
      </c>
      <c r="S20" s="21" cm="1">
        <f t="array" aca="1" ref="S20" ca="1">SUM(INDIRECT(ADDRESS(income_min_row, COLUMN()) &amp; ":" &amp; ADDRESS(income_max_row, COLUMN())))</f>
        <v>0</v>
      </c>
      <c r="T20" s="21" cm="1">
        <f t="array" aca="1" ref="T20" ca="1">SUM(INDIRECT(ADDRESS(income_min_row, COLUMN()) &amp; ":" &amp; ADDRESS(income_max_row, COLUMN())))</f>
        <v>0</v>
      </c>
      <c r="U20" s="21" cm="1">
        <f t="array" aca="1" ref="U20" ca="1">SUM(INDIRECT(ADDRESS(income_min_row, COLUMN()) &amp; ":" &amp; ADDRESS(income_max_row, COLUMN())))</f>
        <v>0</v>
      </c>
      <c r="V20" s="21" cm="1">
        <f t="array" aca="1" ref="V20" ca="1">SUM(INDIRECT(ADDRESS(income_min_row, COLUMN()) &amp; ":" &amp; ADDRESS(income_max_row, COLUMN())))</f>
        <v>0</v>
      </c>
      <c r="W20" s="21" cm="1">
        <f t="array" aca="1" ref="W20" ca="1">SUM(INDIRECT(ADDRESS(income_min_row, COLUMN()) &amp; ":" &amp; ADDRESS(income_max_row, COLUMN())))</f>
        <v>0</v>
      </c>
      <c r="X20" s="21" cm="1">
        <f t="array" aca="1" ref="X20" ca="1">SUM(INDIRECT(ADDRESS(income_min_row, COLUMN()) &amp; ":" &amp; ADDRESS(income_max_row, COLUMN())))</f>
        <v>0</v>
      </c>
      <c r="Y20" s="21" cm="1">
        <f t="array" aca="1" ref="Y20" ca="1">SUM(INDIRECT(ADDRESS(income_min_row, COLUMN()) &amp; ":" &amp; ADDRESS(income_max_row, COLUMN())))</f>
        <v>0</v>
      </c>
      <c r="Z20" s="21" cm="1">
        <f t="array" aca="1" ref="Z20" ca="1">SUM(INDIRECT(ADDRESS(income_min_row, COLUMN()) &amp; ":" &amp; ADDRESS(income_max_row, COLUMN())))</f>
        <v>0</v>
      </c>
      <c r="AA20" s="21" cm="1">
        <f t="array" aca="1" ref="AA20" ca="1">SUM(INDIRECT(ADDRESS(income_min_row, COLUMN()) &amp; ":" &amp; ADDRESS(income_max_row, COLUMN())))</f>
        <v>0</v>
      </c>
      <c r="AB20" s="21" cm="1">
        <f t="array" aca="1" ref="AB20" ca="1">SUM(INDIRECT(ADDRESS(income_min_row, COLUMN()) &amp; ":" &amp; ADDRESS(income_max_row, COLUMN())))</f>
        <v>0</v>
      </c>
      <c r="AC20" s="21" cm="1">
        <f t="array" aca="1" ref="AC20" ca="1">SUM(INDIRECT(ADDRESS(income_min_row, COLUMN()) &amp; ":" &amp; ADDRESS(income_max_row, COLUMN())))</f>
        <v>0</v>
      </c>
      <c r="AD20" s="21" cm="1">
        <f t="array" aca="1" ref="AD20" ca="1">SUM(INDIRECT(ADDRESS(income_min_row, COLUMN()) &amp; ":" &amp; ADDRESS(income_max_row, COLUMN())))</f>
        <v>0</v>
      </c>
      <c r="AE20" s="21" cm="1">
        <f t="array" aca="1" ref="AE20" ca="1">SUM(INDIRECT(ADDRESS(income_min_row, COLUMN()) &amp; ":" &amp; ADDRESS(income_max_row, COLUMN())))</f>
        <v>0</v>
      </c>
      <c r="AG20" s="21" cm="1">
        <f t="array" aca="1" ref="AG20" ca="1">SUM(INDIRECT(ADDRESS(income_min_row, COLUMN()) &amp; ":" &amp; ADDRESS(income_max_row, COLUMN())))</f>
        <v>0</v>
      </c>
      <c r="AH20" s="21" cm="1">
        <f t="array" aca="1" ref="AH20" ca="1">SUM(INDIRECT(ADDRESS(income_min_row, COLUMN()) &amp; ":" &amp; ADDRESS(income_max_row, COLUMN())))</f>
        <v>0</v>
      </c>
      <c r="AI20" s="21" cm="1">
        <f t="array" aca="1" ref="AI20" ca="1">SUM(INDIRECT(ADDRESS(income_min_row, COLUMN()) &amp; ":" &amp; ADDRESS(income_max_row, COLUMN())))</f>
        <v>0</v>
      </c>
      <c r="AJ20" s="21" cm="1">
        <f t="array" aca="1" ref="AJ20" ca="1">SUM(INDIRECT(ADDRESS(income_min_row, COLUMN()) &amp; ":" &amp; ADDRESS(income_max_row, COLUMN())))</f>
        <v>0</v>
      </c>
      <c r="AK20" s="21" cm="1">
        <f t="array" aca="1" ref="AK20" ca="1">SUM(INDIRECT(ADDRESS(income_min_row, COLUMN()) &amp; ":" &amp; ADDRESS(income_max_row, COLUMN())))</f>
        <v>0</v>
      </c>
      <c r="AL20" s="21" cm="1">
        <f t="array" aca="1" ref="AL20" ca="1">SUM(INDIRECT(ADDRESS(income_min_row, COLUMN()) &amp; ":" &amp; ADDRESS(income_max_row, COLUMN())))</f>
        <v>0</v>
      </c>
      <c r="AM20" s="21" cm="1">
        <f t="array" aca="1" ref="AM20" ca="1">SUM(INDIRECT(ADDRESS(income_min_row, COLUMN()) &amp; ":" &amp; ADDRESS(income_max_row, COLUMN())))</f>
        <v>0</v>
      </c>
      <c r="AN20" s="21" cm="1">
        <f t="array" aca="1" ref="AN20" ca="1">SUM(INDIRECT(ADDRESS(income_min_row, COLUMN()) &amp; ":" &amp; ADDRESS(income_max_row, COLUMN())))</f>
        <v>0</v>
      </c>
      <c r="AO20" s="21" cm="1">
        <f t="array" aca="1" ref="AO20" ca="1">SUM(INDIRECT(ADDRESS(income_min_row, COLUMN()) &amp; ":" &amp; ADDRESS(income_max_row, COLUMN())))</f>
        <v>0</v>
      </c>
      <c r="AP20" s="21" cm="1">
        <f t="array" aca="1" ref="AP20" ca="1">SUM(INDIRECT(ADDRESS(income_min_row, COLUMN()) &amp; ":" &amp; ADDRESS(income_max_row, COLUMN())))</f>
        <v>0</v>
      </c>
      <c r="AQ20" s="21" cm="1">
        <f t="array" aca="1" ref="AQ20" ca="1">SUM(INDIRECT(ADDRESS(income_min_row, COLUMN()) &amp; ":" &amp; ADDRESS(income_max_row, COLUMN())))</f>
        <v>0</v>
      </c>
      <c r="AR20" s="21" cm="1">
        <f t="array" aca="1" ref="AR20" ca="1">SUM(INDIRECT(ADDRESS(income_min_row, COLUMN()) &amp; ":" &amp; ADDRESS(income_max_row, COLUMN())))</f>
        <v>0</v>
      </c>
      <c r="AS20" s="21" cm="1">
        <f t="array" aca="1" ref="AS20" ca="1">SUM(INDIRECT(ADDRESS(income_min_row, COLUMN()) &amp; ":" &amp; ADDRESS(income_max_row, COLUMN())))</f>
        <v>0</v>
      </c>
      <c r="AU20" s="21" cm="1">
        <f t="array" aca="1" ref="AU20" ca="1">SUM(INDIRECT(ADDRESS(income_min_row, COLUMN()) &amp; ":" &amp; ADDRESS(income_max_row, COLUMN())))</f>
        <v>0</v>
      </c>
      <c r="AV20" s="21" cm="1">
        <f t="array" aca="1" ref="AV20" ca="1">SUM(INDIRECT(ADDRESS(income_min_row, COLUMN()) &amp; ":" &amp; ADDRESS(income_max_row, COLUMN())))</f>
        <v>0</v>
      </c>
      <c r="AW20" s="21" cm="1">
        <f t="array" aca="1" ref="AW20" ca="1">SUM(INDIRECT(ADDRESS(income_min_row, COLUMN()) &amp; ":" &amp; ADDRESS(income_max_row, COLUMN())))</f>
        <v>0</v>
      </c>
      <c r="AX20" s="21" cm="1">
        <f t="array" aca="1" ref="AX20" ca="1">SUM(INDIRECT(ADDRESS(income_min_row, COLUMN()) &amp; ":" &amp; ADDRESS(income_max_row, COLUMN())))</f>
        <v>0</v>
      </c>
      <c r="AY20" s="21" cm="1">
        <f t="array" aca="1" ref="AY20" ca="1">SUM(INDIRECT(ADDRESS(income_min_row, COLUMN()) &amp; ":" &amp; ADDRESS(income_max_row, COLUMN())))</f>
        <v>0</v>
      </c>
      <c r="AZ20" s="21" cm="1">
        <f t="array" aca="1" ref="AZ20" ca="1">SUM(INDIRECT(ADDRESS(income_min_row, COLUMN()) &amp; ":" &amp; ADDRESS(income_max_row, COLUMN())))</f>
        <v>0</v>
      </c>
      <c r="BA20" s="21" cm="1">
        <f t="array" aca="1" ref="BA20" ca="1">SUM(INDIRECT(ADDRESS(income_min_row, COLUMN()) &amp; ":" &amp; ADDRESS(income_max_row, COLUMN())))</f>
        <v>0</v>
      </c>
      <c r="BB20" s="21" cm="1">
        <f t="array" aca="1" ref="BB20" ca="1">SUM(INDIRECT(ADDRESS(income_min_row, COLUMN()) &amp; ":" &amp; ADDRESS(income_max_row, COLUMN())))</f>
        <v>0</v>
      </c>
      <c r="BC20" s="21" cm="1">
        <f t="array" aca="1" ref="BC20" ca="1">SUM(INDIRECT(ADDRESS(income_min_row, COLUMN()) &amp; ":" &amp; ADDRESS(income_max_row, COLUMN())))</f>
        <v>0</v>
      </c>
      <c r="BD20" s="21" cm="1">
        <f t="array" aca="1" ref="BD20" ca="1">SUM(INDIRECT(ADDRESS(income_min_row, COLUMN()) &amp; ":" &amp; ADDRESS(income_max_row, COLUMN())))</f>
        <v>0</v>
      </c>
      <c r="BE20" s="21" cm="1">
        <f t="array" aca="1" ref="BE20" ca="1">SUM(INDIRECT(ADDRESS(income_min_row, COLUMN()) &amp; ":" &amp; ADDRESS(income_max_row, COLUMN())))</f>
        <v>0</v>
      </c>
      <c r="BF20" s="21" cm="1">
        <f t="array" aca="1" ref="BF20" ca="1">SUM(INDIRECT(ADDRESS(income_min_row, COLUMN()) &amp; ":" &amp; ADDRESS(income_max_row, COLUMN())))</f>
        <v>0</v>
      </c>
      <c r="BG20" s="21" cm="1">
        <f t="array" aca="1" ref="BG20" ca="1">SUM(INDIRECT(ADDRESS(income_min_row, COLUMN()) &amp; ":" &amp; ADDRESS(income_max_row, COLUMN())))</f>
        <v>0</v>
      </c>
      <c r="BI20" s="21" cm="1">
        <f t="array" aca="1" ref="BI20" ca="1">SUM(INDIRECT(ADDRESS(income_min_row, COLUMN()) &amp; ":" &amp; ADDRESS(income_max_row, COLUMN())))</f>
        <v>0</v>
      </c>
      <c r="BJ20" s="21" cm="1">
        <f t="array" aca="1" ref="BJ20" ca="1">SUM(INDIRECT(ADDRESS(income_min_row, COLUMN()) &amp; ":" &amp; ADDRESS(income_max_row, COLUMN())))</f>
        <v>0</v>
      </c>
      <c r="BK20" s="21" cm="1">
        <f t="array" aca="1" ref="BK20" ca="1">SUM(INDIRECT(ADDRESS(income_min_row, COLUMN()) &amp; ":" &amp; ADDRESS(income_max_row, COLUMN())))</f>
        <v>0</v>
      </c>
      <c r="BL20" s="21" cm="1">
        <f t="array" aca="1" ref="BL20" ca="1">SUM(INDIRECT(ADDRESS(income_min_row, COLUMN()) &amp; ":" &amp; ADDRESS(income_max_row, COLUMN())))</f>
        <v>0</v>
      </c>
      <c r="BM20" s="21" cm="1">
        <f t="array" aca="1" ref="BM20" ca="1">SUM(INDIRECT(ADDRESS(income_min_row, COLUMN()) &amp; ":" &amp; ADDRESS(income_max_row, COLUMN())))</f>
        <v>0</v>
      </c>
      <c r="BN20" s="21" cm="1">
        <f t="array" aca="1" ref="BN20" ca="1">SUM(INDIRECT(ADDRESS(income_min_row, COLUMN()) &amp; ":" &amp; ADDRESS(income_max_row, COLUMN())))</f>
        <v>0</v>
      </c>
      <c r="BO20" s="21" cm="1">
        <f t="array" aca="1" ref="BO20" ca="1">SUM(INDIRECT(ADDRESS(income_min_row, COLUMN()) &amp; ":" &amp; ADDRESS(income_max_row, COLUMN())))</f>
        <v>0</v>
      </c>
      <c r="BP20" s="21" cm="1">
        <f t="array" aca="1" ref="BP20" ca="1">SUM(INDIRECT(ADDRESS(income_min_row, COLUMN()) &amp; ":" &amp; ADDRESS(income_max_row, COLUMN())))</f>
        <v>0</v>
      </c>
      <c r="BQ20" s="21" cm="1">
        <f t="array" aca="1" ref="BQ20" ca="1">SUM(INDIRECT(ADDRESS(income_min_row, COLUMN()) &amp; ":" &amp; ADDRESS(income_max_row, COLUMN())))</f>
        <v>0</v>
      </c>
      <c r="BR20" s="21" cm="1">
        <f t="array" aca="1" ref="BR20" ca="1">SUM(INDIRECT(ADDRESS(income_min_row, COLUMN()) &amp; ":" &amp; ADDRESS(income_max_row, COLUMN())))</f>
        <v>0</v>
      </c>
      <c r="BS20" s="21" cm="1">
        <f t="array" aca="1" ref="BS20" ca="1">SUM(INDIRECT(ADDRESS(income_min_row, COLUMN()) &amp; ":" &amp; ADDRESS(income_max_row, COLUMN())))</f>
        <v>0</v>
      </c>
      <c r="BT20" s="21" cm="1">
        <f t="array" aca="1" ref="BT20" ca="1">SUM(INDIRECT(ADDRESS(income_min_row, COLUMN()) &amp; ":" &amp; ADDRESS(income_max_row, COLUMN())))</f>
        <v>0</v>
      </c>
      <c r="BU20" s="21" cm="1">
        <f t="array" aca="1" ref="BU20" ca="1">SUM(INDIRECT(ADDRESS(income_min_row, COLUMN()) &amp; ":" &amp; ADDRESS(income_max_row, COLUMN())))</f>
        <v>0</v>
      </c>
      <c r="BW20" s="21" cm="1">
        <f t="array" aca="1" ref="BW20" ca="1">SUM(INDIRECT(ADDRESS(income_min_row, COLUMN()) &amp; ":" &amp; ADDRESS(income_max_row, COLUMN())))</f>
        <v>0</v>
      </c>
      <c r="BX20" s="21" cm="1">
        <f t="array" aca="1" ref="BX20" ca="1">SUM(INDIRECT(ADDRESS(income_min_row, COLUMN()) &amp; ":" &amp; ADDRESS(income_max_row, COLUMN())))</f>
        <v>0</v>
      </c>
      <c r="BY20" s="21" cm="1">
        <f t="array" aca="1" ref="BY20" ca="1">SUM(INDIRECT(ADDRESS(income_min_row, COLUMN()) &amp; ":" &amp; ADDRESS(income_max_row, COLUMN())))</f>
        <v>0</v>
      </c>
      <c r="BZ20" s="21" cm="1">
        <f t="array" aca="1" ref="BZ20" ca="1">SUM(INDIRECT(ADDRESS(income_min_row, COLUMN()) &amp; ":" &amp; ADDRESS(income_max_row, COLUMN())))</f>
        <v>0</v>
      </c>
      <c r="CA20" s="21" cm="1">
        <f t="array" aca="1" ref="CA20" ca="1">SUM(INDIRECT(ADDRESS(income_min_row, COLUMN()) &amp; ":" &amp; ADDRESS(income_max_row, COLUMN())))</f>
        <v>0</v>
      </c>
      <c r="CB20" s="21" cm="1">
        <f t="array" aca="1" ref="CB20" ca="1">SUM(INDIRECT(ADDRESS(income_min_row, COLUMN()) &amp; ":" &amp; ADDRESS(income_max_row, COLUMN())))</f>
        <v>0</v>
      </c>
      <c r="CC20" s="21" cm="1">
        <f t="array" aca="1" ref="CC20" ca="1">SUM(INDIRECT(ADDRESS(income_min_row, COLUMN()) &amp; ":" &amp; ADDRESS(income_max_row, COLUMN())))</f>
        <v>0</v>
      </c>
      <c r="CD20" s="21" cm="1">
        <f t="array" aca="1" ref="CD20" ca="1">SUM(INDIRECT(ADDRESS(income_min_row, COLUMN()) &amp; ":" &amp; ADDRESS(income_max_row, COLUMN())))</f>
        <v>0</v>
      </c>
      <c r="CE20" s="21" cm="1">
        <f t="array" aca="1" ref="CE20" ca="1">SUM(INDIRECT(ADDRESS(income_min_row, COLUMN()) &amp; ":" &amp; ADDRESS(income_max_row, COLUMN())))</f>
        <v>0</v>
      </c>
      <c r="CF20" s="21" cm="1">
        <f t="array" aca="1" ref="CF20" ca="1">SUM(INDIRECT(ADDRESS(income_min_row, COLUMN()) &amp; ":" &amp; ADDRESS(income_max_row, COLUMN())))</f>
        <v>0</v>
      </c>
      <c r="CG20" s="21" cm="1">
        <f t="array" aca="1" ref="CG20" ca="1">SUM(INDIRECT(ADDRESS(income_min_row, COLUMN()) &amp; ":" &amp; ADDRESS(income_max_row, COLUMN())))</f>
        <v>0</v>
      </c>
      <c r="CH20" s="21" cm="1">
        <f t="array" aca="1" ref="CH20" ca="1">SUM(INDIRECT(ADDRESS(income_min_row, COLUMN()) &amp; ":" &amp; ADDRESS(income_max_row, COLUMN())))</f>
        <v>0</v>
      </c>
      <c r="CI20" s="21" cm="1">
        <f t="array" aca="1" ref="CI20" ca="1">SUM(INDIRECT(ADDRESS(income_min_row, COLUMN()) &amp; ":" &amp; ADDRESS(income_max_row, COLUMN())))</f>
        <v>0</v>
      </c>
      <c r="CK20" s="21" cm="1">
        <f t="array" aca="1" ref="CK20" ca="1">SUM(INDIRECT(ADDRESS(income_min_row, COLUMN()) &amp; ":" &amp; ADDRESS(income_max_row, COLUMN())))</f>
        <v>0</v>
      </c>
      <c r="CL20" s="21" cm="1">
        <f t="array" aca="1" ref="CL20" ca="1">SUM(INDIRECT(ADDRESS(income_min_row, COLUMN()) &amp; ":" &amp; ADDRESS(income_max_row, COLUMN())))</f>
        <v>0</v>
      </c>
      <c r="CM20" s="21" cm="1">
        <f t="array" aca="1" ref="CM20" ca="1">SUM(INDIRECT(ADDRESS(income_min_row, COLUMN()) &amp; ":" &amp; ADDRESS(income_max_row, COLUMN())))</f>
        <v>0</v>
      </c>
      <c r="CN20" s="21" cm="1">
        <f t="array" aca="1" ref="CN20" ca="1">SUM(INDIRECT(ADDRESS(income_min_row, COLUMN()) &amp; ":" &amp; ADDRESS(income_max_row, COLUMN())))</f>
        <v>0</v>
      </c>
      <c r="CO20" s="21" cm="1">
        <f t="array" aca="1" ref="CO20" ca="1">SUM(INDIRECT(ADDRESS(income_min_row, COLUMN()) &amp; ":" &amp; ADDRESS(income_max_row, COLUMN())))</f>
        <v>0</v>
      </c>
      <c r="CP20" s="21" cm="1">
        <f t="array" aca="1" ref="CP20" ca="1">SUM(INDIRECT(ADDRESS(income_min_row, COLUMN()) &amp; ":" &amp; ADDRESS(income_max_row, COLUMN())))</f>
        <v>0</v>
      </c>
      <c r="CQ20" s="21" cm="1">
        <f t="array" aca="1" ref="CQ20" ca="1">SUM(INDIRECT(ADDRESS(income_min_row, COLUMN()) &amp; ":" &amp; ADDRESS(income_max_row, COLUMN())))</f>
        <v>0</v>
      </c>
      <c r="CR20" s="21" cm="1">
        <f t="array" aca="1" ref="CR20" ca="1">SUM(INDIRECT(ADDRESS(income_min_row, COLUMN()) &amp; ":" &amp; ADDRESS(income_max_row, COLUMN())))</f>
        <v>0</v>
      </c>
      <c r="CS20" s="21" cm="1">
        <f t="array" aca="1" ref="CS20" ca="1">SUM(INDIRECT(ADDRESS(income_min_row, COLUMN()) &amp; ":" &amp; ADDRESS(income_max_row, COLUMN())))</f>
        <v>0</v>
      </c>
      <c r="CT20" s="21" cm="1">
        <f t="array" aca="1" ref="CT20" ca="1">SUM(INDIRECT(ADDRESS(income_min_row, COLUMN()) &amp; ":" &amp; ADDRESS(income_max_row, COLUMN())))</f>
        <v>0</v>
      </c>
      <c r="CU20" s="21" cm="1">
        <f t="array" aca="1" ref="CU20" ca="1">SUM(INDIRECT(ADDRESS(income_min_row, COLUMN()) &amp; ":" &amp; ADDRESS(income_max_row, COLUMN())))</f>
        <v>0</v>
      </c>
      <c r="CV20" s="21" cm="1">
        <f t="array" aca="1" ref="CV20" ca="1">SUM(INDIRECT(ADDRESS(income_min_row, COLUMN()) &amp; ":" &amp; ADDRESS(income_max_row, COLUMN())))</f>
        <v>0</v>
      </c>
      <c r="CW20" s="21" cm="1">
        <f t="array" aca="1" ref="CW20" ca="1">SUM(INDIRECT(ADDRESS(income_min_row, COLUMN()) &amp; ":" &amp; ADDRESS(income_max_row, COLUMN())))</f>
        <v>0</v>
      </c>
      <c r="CY20" s="21" cm="1">
        <f t="array" aca="1" ref="CY20" ca="1">SUM(INDIRECT(ADDRESS(income_min_row, COLUMN()) &amp; ":" &amp; ADDRESS(income_max_row, COLUMN())))</f>
        <v>0</v>
      </c>
      <c r="CZ20" s="21" cm="1">
        <f t="array" aca="1" ref="CZ20" ca="1">SUM(INDIRECT(ADDRESS(income_min_row, COLUMN()) &amp; ":" &amp; ADDRESS(income_max_row, COLUMN())))</f>
        <v>0</v>
      </c>
      <c r="DA20" s="21" cm="1">
        <f t="array" aca="1" ref="DA20" ca="1">SUM(INDIRECT(ADDRESS(income_min_row, COLUMN()) &amp; ":" &amp; ADDRESS(income_max_row, COLUMN())))</f>
        <v>0</v>
      </c>
      <c r="DB20" s="21" cm="1">
        <f t="array" aca="1" ref="DB20" ca="1">SUM(INDIRECT(ADDRESS(income_min_row, COLUMN()) &amp; ":" &amp; ADDRESS(income_max_row, COLUMN())))</f>
        <v>0</v>
      </c>
      <c r="DC20" s="21" cm="1">
        <f t="array" aca="1" ref="DC20" ca="1">SUM(INDIRECT(ADDRESS(income_min_row, COLUMN()) &amp; ":" &amp; ADDRESS(income_max_row, COLUMN())))</f>
        <v>0</v>
      </c>
      <c r="DD20" s="21" cm="1">
        <f t="array" aca="1" ref="DD20" ca="1">SUM(INDIRECT(ADDRESS(income_min_row, COLUMN()) &amp; ":" &amp; ADDRESS(income_max_row, COLUMN())))</f>
        <v>0</v>
      </c>
      <c r="DE20" s="21" cm="1">
        <f t="array" aca="1" ref="DE20" ca="1">SUM(INDIRECT(ADDRESS(income_min_row, COLUMN()) &amp; ":" &amp; ADDRESS(income_max_row, COLUMN())))</f>
        <v>0</v>
      </c>
      <c r="DF20" s="21" cm="1">
        <f t="array" aca="1" ref="DF20" ca="1">SUM(INDIRECT(ADDRESS(income_min_row, COLUMN()) &amp; ":" &amp; ADDRESS(income_max_row, COLUMN())))</f>
        <v>0</v>
      </c>
      <c r="DG20" s="21" cm="1">
        <f t="array" aca="1" ref="DG20" ca="1">SUM(INDIRECT(ADDRESS(income_min_row, COLUMN()) &amp; ":" &amp; ADDRESS(income_max_row, COLUMN())))</f>
        <v>0</v>
      </c>
      <c r="DH20" s="21" cm="1">
        <f t="array" aca="1" ref="DH20" ca="1">SUM(INDIRECT(ADDRESS(income_min_row, COLUMN()) &amp; ":" &amp; ADDRESS(income_max_row, COLUMN())))</f>
        <v>0</v>
      </c>
      <c r="DI20" s="21" cm="1">
        <f t="array" aca="1" ref="DI20" ca="1">SUM(INDIRECT(ADDRESS(income_min_row, COLUMN()) &amp; ":" &amp; ADDRESS(income_max_row, COLUMN())))</f>
        <v>0</v>
      </c>
      <c r="DJ20" s="21" cm="1">
        <f t="array" aca="1" ref="DJ20" ca="1">SUM(INDIRECT(ADDRESS(income_min_row, COLUMN()) &amp; ":" &amp; ADDRESS(income_max_row, COLUMN())))</f>
        <v>0</v>
      </c>
      <c r="DK20" s="21" cm="1">
        <f t="array" aca="1" ref="DK20" ca="1">SUM(INDIRECT(ADDRESS(income_min_row, COLUMN()) &amp; ":" &amp; ADDRESS(income_max_row, COLUMN())))</f>
        <v>0</v>
      </c>
      <c r="DM20" s="21" cm="1">
        <f t="array" aca="1" ref="DM20" ca="1">SUM(INDIRECT(ADDRESS(income_min_row, COLUMN()) &amp; ":" &amp; ADDRESS(income_max_row, COLUMN())))</f>
        <v>0</v>
      </c>
      <c r="DN20" s="21" cm="1">
        <f t="array" aca="1" ref="DN20" ca="1">SUM(INDIRECT(ADDRESS(income_min_row, COLUMN()) &amp; ":" &amp; ADDRESS(income_max_row, COLUMN())))</f>
        <v>0</v>
      </c>
      <c r="DO20" s="21" cm="1">
        <f t="array" aca="1" ref="DO20" ca="1">SUM(INDIRECT(ADDRESS(income_min_row, COLUMN()) &amp; ":" &amp; ADDRESS(income_max_row, COLUMN())))</f>
        <v>0</v>
      </c>
      <c r="DP20" s="21" cm="1">
        <f t="array" aca="1" ref="DP20" ca="1">SUM(INDIRECT(ADDRESS(income_min_row, COLUMN()) &amp; ":" &amp; ADDRESS(income_max_row, COLUMN())))</f>
        <v>0</v>
      </c>
      <c r="DQ20" s="21" cm="1">
        <f t="array" aca="1" ref="DQ20" ca="1">SUM(INDIRECT(ADDRESS(income_min_row, COLUMN()) &amp; ":" &amp; ADDRESS(income_max_row, COLUMN())))</f>
        <v>0</v>
      </c>
      <c r="DR20" s="21" cm="1">
        <f t="array" aca="1" ref="DR20" ca="1">SUM(INDIRECT(ADDRESS(income_min_row, COLUMN()) &amp; ":" &amp; ADDRESS(income_max_row, COLUMN())))</f>
        <v>0</v>
      </c>
      <c r="DS20" s="21" cm="1">
        <f t="array" aca="1" ref="DS20" ca="1">SUM(INDIRECT(ADDRESS(income_min_row, COLUMN()) &amp; ":" &amp; ADDRESS(income_max_row, COLUMN())))</f>
        <v>0</v>
      </c>
      <c r="DT20" s="21" cm="1">
        <f t="array" aca="1" ref="DT20" ca="1">SUM(INDIRECT(ADDRESS(income_min_row, COLUMN()) &amp; ":" &amp; ADDRESS(income_max_row, COLUMN())))</f>
        <v>0</v>
      </c>
      <c r="DU20" s="21" cm="1">
        <f t="array" aca="1" ref="DU20" ca="1">SUM(INDIRECT(ADDRESS(income_min_row, COLUMN()) &amp; ":" &amp; ADDRESS(income_max_row, COLUMN())))</f>
        <v>0</v>
      </c>
      <c r="DV20" s="21" cm="1">
        <f t="array" aca="1" ref="DV20" ca="1">SUM(INDIRECT(ADDRESS(income_min_row, COLUMN()) &amp; ":" &amp; ADDRESS(income_max_row, COLUMN())))</f>
        <v>0</v>
      </c>
      <c r="DW20" s="21" cm="1">
        <f t="array" aca="1" ref="DW20" ca="1">SUM(INDIRECT(ADDRESS(income_min_row, COLUMN()) &amp; ":" &amp; ADDRESS(income_max_row, COLUMN())))</f>
        <v>0</v>
      </c>
      <c r="DX20" s="21" cm="1">
        <f t="array" aca="1" ref="DX20" ca="1">SUM(INDIRECT(ADDRESS(income_min_row, COLUMN()) &amp; ":" &amp; ADDRESS(income_max_row, COLUMN())))</f>
        <v>0</v>
      </c>
      <c r="DY20" s="21" cm="1">
        <f t="array" aca="1" ref="DY20" ca="1">SUM(INDIRECT(ADDRESS(income_min_row, COLUMN()) &amp; ":" &amp; ADDRESS(income_max_row, COLUMN())))</f>
        <v>0</v>
      </c>
      <c r="EA20" s="21" cm="1">
        <f t="array" aca="1" ref="EA20" ca="1">SUM(INDIRECT(ADDRESS(income_min_row, COLUMN()) &amp; ":" &amp; ADDRESS(income_max_row, COLUMN())))</f>
        <v>0</v>
      </c>
      <c r="EB20" s="21" cm="1">
        <f t="array" aca="1" ref="EB20" ca="1">SUM(INDIRECT(ADDRESS(income_min_row, COLUMN()) &amp; ":" &amp; ADDRESS(income_max_row, COLUMN())))</f>
        <v>0</v>
      </c>
      <c r="EC20" s="21" cm="1">
        <f t="array" aca="1" ref="EC20" ca="1">SUM(INDIRECT(ADDRESS(income_min_row, COLUMN()) &amp; ":" &amp; ADDRESS(income_max_row, COLUMN())))</f>
        <v>0</v>
      </c>
      <c r="ED20" s="21" cm="1">
        <f t="array" aca="1" ref="ED20" ca="1">SUM(INDIRECT(ADDRESS(income_min_row, COLUMN()) &amp; ":" &amp; ADDRESS(income_max_row, COLUMN())))</f>
        <v>0</v>
      </c>
      <c r="EE20" s="21" cm="1">
        <f t="array" aca="1" ref="EE20" ca="1">SUM(INDIRECT(ADDRESS(income_min_row, COLUMN()) &amp; ":" &amp; ADDRESS(income_max_row, COLUMN())))</f>
        <v>0</v>
      </c>
      <c r="EF20" s="21" cm="1">
        <f t="array" aca="1" ref="EF20" ca="1">SUM(INDIRECT(ADDRESS(income_min_row, COLUMN()) &amp; ":" &amp; ADDRESS(income_max_row, COLUMN())))</f>
        <v>0</v>
      </c>
      <c r="EG20" s="21" cm="1">
        <f t="array" aca="1" ref="EG20" ca="1">SUM(INDIRECT(ADDRESS(income_min_row, COLUMN()) &amp; ":" &amp; ADDRESS(income_max_row, COLUMN())))</f>
        <v>0</v>
      </c>
      <c r="EH20" s="21" cm="1">
        <f t="array" aca="1" ref="EH20" ca="1">SUM(INDIRECT(ADDRESS(income_min_row, COLUMN()) &amp; ":" &amp; ADDRESS(income_max_row, COLUMN())))</f>
        <v>0</v>
      </c>
      <c r="EI20" s="21" cm="1">
        <f t="array" aca="1" ref="EI20" ca="1">SUM(INDIRECT(ADDRESS(income_min_row, COLUMN()) &amp; ":" &amp; ADDRESS(income_max_row, COLUMN())))</f>
        <v>0</v>
      </c>
      <c r="EJ20" s="21" cm="1">
        <f t="array" aca="1" ref="EJ20" ca="1">SUM(INDIRECT(ADDRESS(income_min_row, COLUMN()) &amp; ":" &amp; ADDRESS(income_max_row, COLUMN())))</f>
        <v>0</v>
      </c>
      <c r="EK20" s="21" cm="1">
        <f t="array" aca="1" ref="EK20" ca="1">SUM(INDIRECT(ADDRESS(income_min_row, COLUMN()) &amp; ":" &amp; ADDRESS(income_max_row, COLUMN())))</f>
        <v>0</v>
      </c>
      <c r="EL20" s="21" cm="1">
        <f t="array" aca="1" ref="EL20" ca="1">SUM(INDIRECT(ADDRESS(income_min_row, COLUMN()) &amp; ":" &amp; ADDRESS(income_max_row, COLUMN())))</f>
        <v>0</v>
      </c>
      <c r="EM20" s="21" cm="1">
        <f t="array" aca="1" ref="EM20" ca="1">SUM(INDIRECT(ADDRESS(income_min_row, COLUMN()) &amp; ":" &amp; ADDRESS(income_max_row, COLUMN())))</f>
        <v>0</v>
      </c>
    </row>
    <row r="22" spans="3:143" x14ac:dyDescent="0.2">
      <c r="C22" s="15" t="s">
        <v>13</v>
      </c>
      <c r="E22" s="23">
        <f>DATE(E$5,1,1)</f>
        <v>44562</v>
      </c>
      <c r="F22" s="23">
        <f>DATE(E$5,2,1)</f>
        <v>44593</v>
      </c>
      <c r="G22" s="23">
        <f>DATE(E$5,3,1)</f>
        <v>44621</v>
      </c>
      <c r="H22" s="23">
        <f>DATE(E$5,4,1)</f>
        <v>44652</v>
      </c>
      <c r="I22" s="23">
        <f>DATE(E$5,5,1)</f>
        <v>44682</v>
      </c>
      <c r="J22" s="23">
        <f>DATE(E$5,6,1)</f>
        <v>44713</v>
      </c>
      <c r="K22" s="23">
        <f>DATE(E$5,7,1)</f>
        <v>44743</v>
      </c>
      <c r="L22" s="23">
        <f>DATE(E$5,8,1)</f>
        <v>44774</v>
      </c>
      <c r="M22" s="23">
        <f>DATE(E$5,9,1)</f>
        <v>44805</v>
      </c>
      <c r="N22" s="23">
        <f>DATE(E$5,10,1)</f>
        <v>44835</v>
      </c>
      <c r="O22" s="23">
        <f>DATE(E$5,11,1)</f>
        <v>44866</v>
      </c>
      <c r="P22" s="23">
        <f>DATE(E$5,12,1)</f>
        <v>44896</v>
      </c>
      <c r="Q22" s="24">
        <f>E$5</f>
        <v>2022</v>
      </c>
      <c r="S22" s="23">
        <f>DATE(S$5,1,1)</f>
        <v>44927</v>
      </c>
      <c r="T22" s="23">
        <f>DATE(S$5,2,1)</f>
        <v>44958</v>
      </c>
      <c r="U22" s="23">
        <f>DATE(S$5,3,1)</f>
        <v>44986</v>
      </c>
      <c r="V22" s="23">
        <f>DATE(S$5,4,1)</f>
        <v>45017</v>
      </c>
      <c r="W22" s="23">
        <f>DATE(S$5,5,1)</f>
        <v>45047</v>
      </c>
      <c r="X22" s="23">
        <f>DATE(S$5,6,1)</f>
        <v>45078</v>
      </c>
      <c r="Y22" s="23">
        <f>DATE(S$5,7,1)</f>
        <v>45108</v>
      </c>
      <c r="Z22" s="23">
        <f>DATE(S$5,8,1)</f>
        <v>45139</v>
      </c>
      <c r="AA22" s="23">
        <f>DATE(S$5,9,1)</f>
        <v>45170</v>
      </c>
      <c r="AB22" s="23">
        <f>DATE(S$5,10,1)</f>
        <v>45200</v>
      </c>
      <c r="AC22" s="23">
        <f>DATE(S$5,11,1)</f>
        <v>45231</v>
      </c>
      <c r="AD22" s="23">
        <f>DATE(S$5,12,1)</f>
        <v>45261</v>
      </c>
      <c r="AE22" s="24">
        <f>S$5</f>
        <v>2023</v>
      </c>
      <c r="AG22" s="23">
        <f t="shared" ref="AG22" si="236">DATE(AG$5,1,1)</f>
        <v>45292</v>
      </c>
      <c r="AH22" s="23">
        <f t="shared" ref="AH22" si="237">DATE(AG$5,2,1)</f>
        <v>45323</v>
      </c>
      <c r="AI22" s="23">
        <f t="shared" ref="AI22" si="238">DATE(AG$5,3,1)</f>
        <v>45352</v>
      </c>
      <c r="AJ22" s="23">
        <f t="shared" ref="AJ22" si="239">DATE(AG$5,4,1)</f>
        <v>45383</v>
      </c>
      <c r="AK22" s="23">
        <f t="shared" ref="AK22" si="240">DATE(AG$5,5,1)</f>
        <v>45413</v>
      </c>
      <c r="AL22" s="23">
        <f t="shared" ref="AL22" si="241">DATE(AG$5,6,1)</f>
        <v>45444</v>
      </c>
      <c r="AM22" s="23">
        <f t="shared" ref="AM22" si="242">DATE(AG$5,7,1)</f>
        <v>45474</v>
      </c>
      <c r="AN22" s="23">
        <f t="shared" ref="AN22" si="243">DATE(AG$5,8,1)</f>
        <v>45505</v>
      </c>
      <c r="AO22" s="23">
        <f t="shared" ref="AO22" si="244">DATE(AG$5,9,1)</f>
        <v>45536</v>
      </c>
      <c r="AP22" s="23">
        <f t="shared" ref="AP22" si="245">DATE(AG$5,10,1)</f>
        <v>45566</v>
      </c>
      <c r="AQ22" s="23">
        <f t="shared" ref="AQ22" si="246">DATE(AG$5,11,1)</f>
        <v>45597</v>
      </c>
      <c r="AR22" s="23">
        <f t="shared" ref="AR22" si="247">DATE(AG$5,12,1)</f>
        <v>45627</v>
      </c>
      <c r="AS22" s="24">
        <f t="shared" ref="AS22" si="248">AG$5</f>
        <v>2024</v>
      </c>
      <c r="AU22" s="23">
        <f t="shared" ref="AU22" si="249">DATE(AU$5,1,1)</f>
        <v>45658</v>
      </c>
      <c r="AV22" s="23">
        <f t="shared" ref="AV22" si="250">DATE(AU$5,2,1)</f>
        <v>45689</v>
      </c>
      <c r="AW22" s="23">
        <f t="shared" ref="AW22" si="251">DATE(AU$5,3,1)</f>
        <v>45717</v>
      </c>
      <c r="AX22" s="23">
        <f t="shared" ref="AX22" si="252">DATE(AU$5,4,1)</f>
        <v>45748</v>
      </c>
      <c r="AY22" s="23">
        <f t="shared" ref="AY22" si="253">DATE(AU$5,5,1)</f>
        <v>45778</v>
      </c>
      <c r="AZ22" s="23">
        <f t="shared" ref="AZ22" si="254">DATE(AU$5,6,1)</f>
        <v>45809</v>
      </c>
      <c r="BA22" s="23">
        <f t="shared" ref="BA22" si="255">DATE(AU$5,7,1)</f>
        <v>45839</v>
      </c>
      <c r="BB22" s="23">
        <f t="shared" ref="BB22" si="256">DATE(AU$5,8,1)</f>
        <v>45870</v>
      </c>
      <c r="BC22" s="23">
        <f t="shared" ref="BC22" si="257">DATE(AU$5,9,1)</f>
        <v>45901</v>
      </c>
      <c r="BD22" s="23">
        <f t="shared" ref="BD22" si="258">DATE(AU$5,10,1)</f>
        <v>45931</v>
      </c>
      <c r="BE22" s="23">
        <f t="shared" ref="BE22" si="259">DATE(AU$5,11,1)</f>
        <v>45962</v>
      </c>
      <c r="BF22" s="23">
        <f t="shared" ref="BF22" si="260">DATE(AU$5,12,1)</f>
        <v>45992</v>
      </c>
      <c r="BG22" s="24">
        <f t="shared" ref="BG22" si="261">AU$5</f>
        <v>2025</v>
      </c>
      <c r="BI22" s="23">
        <f t="shared" ref="BI22" si="262">DATE(BI$5,1,1)</f>
        <v>46023</v>
      </c>
      <c r="BJ22" s="23">
        <f t="shared" ref="BJ22" si="263">DATE(BI$5,2,1)</f>
        <v>46054</v>
      </c>
      <c r="BK22" s="23">
        <f t="shared" ref="BK22" si="264">DATE(BI$5,3,1)</f>
        <v>46082</v>
      </c>
      <c r="BL22" s="23">
        <f t="shared" ref="BL22" si="265">DATE(BI$5,4,1)</f>
        <v>46113</v>
      </c>
      <c r="BM22" s="23">
        <f t="shared" ref="BM22" si="266">DATE(BI$5,5,1)</f>
        <v>46143</v>
      </c>
      <c r="BN22" s="23">
        <f t="shared" ref="BN22" si="267">DATE(BI$5,6,1)</f>
        <v>46174</v>
      </c>
      <c r="BO22" s="23">
        <f t="shared" ref="BO22" si="268">DATE(BI$5,7,1)</f>
        <v>46204</v>
      </c>
      <c r="BP22" s="23">
        <f t="shared" ref="BP22" si="269">DATE(BI$5,8,1)</f>
        <v>46235</v>
      </c>
      <c r="BQ22" s="23">
        <f t="shared" ref="BQ22" si="270">DATE(BI$5,9,1)</f>
        <v>46266</v>
      </c>
      <c r="BR22" s="23">
        <f t="shared" ref="BR22" si="271">DATE(BI$5,10,1)</f>
        <v>46296</v>
      </c>
      <c r="BS22" s="23">
        <f t="shared" ref="BS22" si="272">DATE(BI$5,11,1)</f>
        <v>46327</v>
      </c>
      <c r="BT22" s="23">
        <f t="shared" ref="BT22" si="273">DATE(BI$5,12,1)</f>
        <v>46357</v>
      </c>
      <c r="BU22" s="24">
        <f t="shared" ref="BU22" si="274">BI$5</f>
        <v>2026</v>
      </c>
      <c r="BW22" s="23">
        <f t="shared" ref="BW22" si="275">DATE(BW$5,1,1)</f>
        <v>46388</v>
      </c>
      <c r="BX22" s="23">
        <f t="shared" ref="BX22" si="276">DATE(BW$5,2,1)</f>
        <v>46419</v>
      </c>
      <c r="BY22" s="23">
        <f t="shared" ref="BY22" si="277">DATE(BW$5,3,1)</f>
        <v>46447</v>
      </c>
      <c r="BZ22" s="23">
        <f t="shared" ref="BZ22" si="278">DATE(BW$5,4,1)</f>
        <v>46478</v>
      </c>
      <c r="CA22" s="23">
        <f t="shared" ref="CA22" si="279">DATE(BW$5,5,1)</f>
        <v>46508</v>
      </c>
      <c r="CB22" s="23">
        <f t="shared" ref="CB22" si="280">DATE(BW$5,6,1)</f>
        <v>46539</v>
      </c>
      <c r="CC22" s="23">
        <f t="shared" ref="CC22" si="281">DATE(BW$5,7,1)</f>
        <v>46569</v>
      </c>
      <c r="CD22" s="23">
        <f t="shared" ref="CD22" si="282">DATE(BW$5,8,1)</f>
        <v>46600</v>
      </c>
      <c r="CE22" s="23">
        <f t="shared" ref="CE22" si="283">DATE(BW$5,9,1)</f>
        <v>46631</v>
      </c>
      <c r="CF22" s="23">
        <f t="shared" ref="CF22" si="284">DATE(BW$5,10,1)</f>
        <v>46661</v>
      </c>
      <c r="CG22" s="23">
        <f t="shared" ref="CG22" si="285">DATE(BW$5,11,1)</f>
        <v>46692</v>
      </c>
      <c r="CH22" s="23">
        <f t="shared" ref="CH22" si="286">DATE(BW$5,12,1)</f>
        <v>46722</v>
      </c>
      <c r="CI22" s="24">
        <f t="shared" ref="CI22" si="287">BW$5</f>
        <v>2027</v>
      </c>
      <c r="CK22" s="23">
        <f t="shared" ref="CK22" si="288">DATE(CK$5,1,1)</f>
        <v>46753</v>
      </c>
      <c r="CL22" s="23">
        <f t="shared" ref="CL22" si="289">DATE(CK$5,2,1)</f>
        <v>46784</v>
      </c>
      <c r="CM22" s="23">
        <f t="shared" ref="CM22" si="290">DATE(CK$5,3,1)</f>
        <v>46813</v>
      </c>
      <c r="CN22" s="23">
        <f t="shared" ref="CN22" si="291">DATE(CK$5,4,1)</f>
        <v>46844</v>
      </c>
      <c r="CO22" s="23">
        <f t="shared" ref="CO22" si="292">DATE(CK$5,5,1)</f>
        <v>46874</v>
      </c>
      <c r="CP22" s="23">
        <f t="shared" ref="CP22" si="293">DATE(CK$5,6,1)</f>
        <v>46905</v>
      </c>
      <c r="CQ22" s="23">
        <f t="shared" ref="CQ22" si="294">DATE(CK$5,7,1)</f>
        <v>46935</v>
      </c>
      <c r="CR22" s="23">
        <f t="shared" ref="CR22" si="295">DATE(CK$5,8,1)</f>
        <v>46966</v>
      </c>
      <c r="CS22" s="23">
        <f t="shared" ref="CS22" si="296">DATE(CK$5,9,1)</f>
        <v>46997</v>
      </c>
      <c r="CT22" s="23">
        <f t="shared" ref="CT22" si="297">DATE(CK$5,10,1)</f>
        <v>47027</v>
      </c>
      <c r="CU22" s="23">
        <f t="shared" ref="CU22" si="298">DATE(CK$5,11,1)</f>
        <v>47058</v>
      </c>
      <c r="CV22" s="23">
        <f t="shared" ref="CV22" si="299">DATE(CK$5,12,1)</f>
        <v>47088</v>
      </c>
      <c r="CW22" s="24">
        <f t="shared" ref="CW22" si="300">CK$5</f>
        <v>2028</v>
      </c>
      <c r="CY22" s="23">
        <f t="shared" ref="CY22" si="301">DATE(CY$5,1,1)</f>
        <v>47119</v>
      </c>
      <c r="CZ22" s="23">
        <f t="shared" ref="CZ22" si="302">DATE(CY$5,2,1)</f>
        <v>47150</v>
      </c>
      <c r="DA22" s="23">
        <f t="shared" ref="DA22" si="303">DATE(CY$5,3,1)</f>
        <v>47178</v>
      </c>
      <c r="DB22" s="23">
        <f t="shared" ref="DB22" si="304">DATE(CY$5,4,1)</f>
        <v>47209</v>
      </c>
      <c r="DC22" s="23">
        <f t="shared" ref="DC22" si="305">DATE(CY$5,5,1)</f>
        <v>47239</v>
      </c>
      <c r="DD22" s="23">
        <f t="shared" ref="DD22" si="306">DATE(CY$5,6,1)</f>
        <v>47270</v>
      </c>
      <c r="DE22" s="23">
        <f t="shared" ref="DE22" si="307">DATE(CY$5,7,1)</f>
        <v>47300</v>
      </c>
      <c r="DF22" s="23">
        <f t="shared" ref="DF22" si="308">DATE(CY$5,8,1)</f>
        <v>47331</v>
      </c>
      <c r="DG22" s="23">
        <f t="shared" ref="DG22" si="309">DATE(CY$5,9,1)</f>
        <v>47362</v>
      </c>
      <c r="DH22" s="23">
        <f t="shared" ref="DH22" si="310">DATE(CY$5,10,1)</f>
        <v>47392</v>
      </c>
      <c r="DI22" s="23">
        <f t="shared" ref="DI22" si="311">DATE(CY$5,11,1)</f>
        <v>47423</v>
      </c>
      <c r="DJ22" s="23">
        <f t="shared" ref="DJ22" si="312">DATE(CY$5,12,1)</f>
        <v>47453</v>
      </c>
      <c r="DK22" s="24">
        <f t="shared" ref="DK22" si="313">CY$5</f>
        <v>2029</v>
      </c>
      <c r="DM22" s="23">
        <f t="shared" ref="DM22" si="314">DATE(DM$5,1,1)</f>
        <v>47484</v>
      </c>
      <c r="DN22" s="23">
        <f t="shared" ref="DN22" si="315">DATE(DM$5,2,1)</f>
        <v>47515</v>
      </c>
      <c r="DO22" s="23">
        <f t="shared" ref="DO22" si="316">DATE(DM$5,3,1)</f>
        <v>47543</v>
      </c>
      <c r="DP22" s="23">
        <f t="shared" ref="DP22" si="317">DATE(DM$5,4,1)</f>
        <v>47574</v>
      </c>
      <c r="DQ22" s="23">
        <f t="shared" ref="DQ22" si="318">DATE(DM$5,5,1)</f>
        <v>47604</v>
      </c>
      <c r="DR22" s="23">
        <f t="shared" ref="DR22" si="319">DATE(DM$5,6,1)</f>
        <v>47635</v>
      </c>
      <c r="DS22" s="23">
        <f t="shared" ref="DS22" si="320">DATE(DM$5,7,1)</f>
        <v>47665</v>
      </c>
      <c r="DT22" s="23">
        <f t="shared" ref="DT22" si="321">DATE(DM$5,8,1)</f>
        <v>47696</v>
      </c>
      <c r="DU22" s="23">
        <f t="shared" ref="DU22" si="322">DATE(DM$5,9,1)</f>
        <v>47727</v>
      </c>
      <c r="DV22" s="23">
        <f t="shared" ref="DV22" si="323">DATE(DM$5,10,1)</f>
        <v>47757</v>
      </c>
      <c r="DW22" s="23">
        <f t="shared" ref="DW22" si="324">DATE(DM$5,11,1)</f>
        <v>47788</v>
      </c>
      <c r="DX22" s="23">
        <f t="shared" ref="DX22" si="325">DATE(DM$5,12,1)</f>
        <v>47818</v>
      </c>
      <c r="DY22" s="24">
        <f t="shared" ref="DY22" si="326">DM$5</f>
        <v>2030</v>
      </c>
      <c r="EA22" s="23">
        <f t="shared" ref="EA22" si="327">DATE(EA$5,1,1)</f>
        <v>47849</v>
      </c>
      <c r="EB22" s="23">
        <f t="shared" ref="EB22" si="328">DATE(EA$5,2,1)</f>
        <v>47880</v>
      </c>
      <c r="EC22" s="23">
        <f t="shared" ref="EC22" si="329">DATE(EA$5,3,1)</f>
        <v>47908</v>
      </c>
      <c r="ED22" s="23">
        <f t="shared" ref="ED22" si="330">DATE(EA$5,4,1)</f>
        <v>47939</v>
      </c>
      <c r="EE22" s="23">
        <f t="shared" ref="EE22" si="331">DATE(EA$5,5,1)</f>
        <v>47969</v>
      </c>
      <c r="EF22" s="23">
        <f t="shared" ref="EF22" si="332">DATE(EA$5,6,1)</f>
        <v>48000</v>
      </c>
      <c r="EG22" s="23">
        <f t="shared" ref="EG22" si="333">DATE(EA$5,7,1)</f>
        <v>48030</v>
      </c>
      <c r="EH22" s="23">
        <f t="shared" ref="EH22" si="334">DATE(EA$5,8,1)</f>
        <v>48061</v>
      </c>
      <c r="EI22" s="23">
        <f t="shared" ref="EI22" si="335">DATE(EA$5,9,1)</f>
        <v>48092</v>
      </c>
      <c r="EJ22" s="23">
        <f t="shared" ref="EJ22" si="336">DATE(EA$5,10,1)</f>
        <v>48122</v>
      </c>
      <c r="EK22" s="23">
        <f t="shared" ref="EK22" si="337">DATE(EA$5,11,1)</f>
        <v>48153</v>
      </c>
      <c r="EL22" s="23">
        <f t="shared" ref="EL22" si="338">DATE(EA$5,12,1)</f>
        <v>48183</v>
      </c>
      <c r="EM22" s="24">
        <f t="shared" ref="EM22" si="339">EA$5</f>
        <v>2031</v>
      </c>
    </row>
    <row r="23" spans="3:143" x14ac:dyDescent="0.2">
      <c r="C23" s="19" t="s">
        <v>14</v>
      </c>
      <c r="E23" s="20"/>
      <c r="F23" s="20"/>
      <c r="G23" s="20"/>
      <c r="H23" s="20"/>
      <c r="I23" s="20"/>
      <c r="J23" s="20"/>
      <c r="K23" s="20"/>
      <c r="L23" s="20"/>
      <c r="M23" s="20"/>
      <c r="N23" s="20"/>
      <c r="O23" s="20"/>
      <c r="P23" s="20"/>
      <c r="Q23" s="22">
        <f>SUM(E23:P23)</f>
        <v>0</v>
      </c>
      <c r="S23" s="20"/>
      <c r="T23" s="20"/>
      <c r="U23" s="20"/>
      <c r="V23" s="20"/>
      <c r="W23" s="20"/>
      <c r="X23" s="20"/>
      <c r="Y23" s="20"/>
      <c r="Z23" s="20"/>
      <c r="AA23" s="20"/>
      <c r="AB23" s="20"/>
      <c r="AC23" s="20"/>
      <c r="AD23" s="20"/>
      <c r="AE23" s="22">
        <f>SUM(S23:AD23)</f>
        <v>0</v>
      </c>
      <c r="AG23" s="20"/>
      <c r="AH23" s="20"/>
      <c r="AI23" s="20"/>
      <c r="AJ23" s="20"/>
      <c r="AK23" s="20"/>
      <c r="AL23" s="20"/>
      <c r="AM23" s="20"/>
      <c r="AN23" s="20"/>
      <c r="AO23" s="20"/>
      <c r="AP23" s="20"/>
      <c r="AQ23" s="20"/>
      <c r="AR23" s="20"/>
      <c r="AS23" s="22">
        <f t="shared" ref="AS23" si="340">SUM(AG23:AR23)</f>
        <v>0</v>
      </c>
      <c r="AU23" s="20"/>
      <c r="AV23" s="20"/>
      <c r="AW23" s="20"/>
      <c r="AX23" s="20"/>
      <c r="AY23" s="20"/>
      <c r="AZ23" s="20"/>
      <c r="BA23" s="20"/>
      <c r="BB23" s="20"/>
      <c r="BC23" s="20"/>
      <c r="BD23" s="20"/>
      <c r="BE23" s="20"/>
      <c r="BF23" s="20"/>
      <c r="BG23" s="22">
        <f t="shared" ref="BG23" si="341">SUM(AU23:BF23)</f>
        <v>0</v>
      </c>
      <c r="BI23" s="20"/>
      <c r="BJ23" s="20"/>
      <c r="BK23" s="20"/>
      <c r="BL23" s="20"/>
      <c r="BM23" s="20"/>
      <c r="BN23" s="20"/>
      <c r="BO23" s="20"/>
      <c r="BP23" s="20"/>
      <c r="BQ23" s="20"/>
      <c r="BR23" s="20"/>
      <c r="BS23" s="20"/>
      <c r="BT23" s="20"/>
      <c r="BU23" s="22">
        <f t="shared" ref="BU23" si="342">SUM(BI23:BT23)</f>
        <v>0</v>
      </c>
      <c r="BW23" s="20"/>
      <c r="BX23" s="20"/>
      <c r="BY23" s="20"/>
      <c r="BZ23" s="20"/>
      <c r="CA23" s="20"/>
      <c r="CB23" s="20"/>
      <c r="CC23" s="20"/>
      <c r="CD23" s="20"/>
      <c r="CE23" s="20"/>
      <c r="CF23" s="20"/>
      <c r="CG23" s="20"/>
      <c r="CH23" s="20"/>
      <c r="CI23" s="22">
        <f t="shared" ref="CI23" si="343">SUM(BW23:CH23)</f>
        <v>0</v>
      </c>
      <c r="CK23" s="20"/>
      <c r="CL23" s="20"/>
      <c r="CM23" s="20"/>
      <c r="CN23" s="20"/>
      <c r="CO23" s="20"/>
      <c r="CP23" s="20"/>
      <c r="CQ23" s="20"/>
      <c r="CR23" s="20"/>
      <c r="CS23" s="20"/>
      <c r="CT23" s="20"/>
      <c r="CU23" s="20"/>
      <c r="CV23" s="20"/>
      <c r="CW23" s="22">
        <f t="shared" ref="CW23" si="344">SUM(CK23:CV23)</f>
        <v>0</v>
      </c>
      <c r="CY23" s="20"/>
      <c r="CZ23" s="20"/>
      <c r="DA23" s="20"/>
      <c r="DB23" s="20"/>
      <c r="DC23" s="20"/>
      <c r="DD23" s="20"/>
      <c r="DE23" s="20"/>
      <c r="DF23" s="20"/>
      <c r="DG23" s="20"/>
      <c r="DH23" s="20"/>
      <c r="DI23" s="20"/>
      <c r="DJ23" s="20"/>
      <c r="DK23" s="22">
        <f t="shared" ref="DK23" si="345">SUM(CY23:DJ23)</f>
        <v>0</v>
      </c>
      <c r="DM23" s="20"/>
      <c r="DN23" s="20"/>
      <c r="DO23" s="20"/>
      <c r="DP23" s="20"/>
      <c r="DQ23" s="20"/>
      <c r="DR23" s="20"/>
      <c r="DS23" s="20"/>
      <c r="DT23" s="20"/>
      <c r="DU23" s="20"/>
      <c r="DV23" s="20"/>
      <c r="DW23" s="20"/>
      <c r="DX23" s="20"/>
      <c r="DY23" s="22">
        <f t="shared" ref="DY23" si="346">SUM(DM23:DX23)</f>
        <v>0</v>
      </c>
      <c r="EA23" s="20"/>
      <c r="EB23" s="20"/>
      <c r="EC23" s="20"/>
      <c r="ED23" s="20"/>
      <c r="EE23" s="20"/>
      <c r="EF23" s="20"/>
      <c r="EG23" s="20"/>
      <c r="EH23" s="20"/>
      <c r="EI23" s="20"/>
      <c r="EJ23" s="20"/>
      <c r="EK23" s="20"/>
      <c r="EL23" s="20"/>
      <c r="EM23" s="22">
        <f t="shared" ref="EM23" si="347">SUM(EA23:EL23)</f>
        <v>0</v>
      </c>
    </row>
    <row r="24" spans="3:143" x14ac:dyDescent="0.2">
      <c r="C24" s="19" t="s">
        <v>14</v>
      </c>
      <c r="E24" s="20"/>
      <c r="F24" s="20"/>
      <c r="G24" s="20"/>
      <c r="H24" s="20"/>
      <c r="I24" s="20"/>
      <c r="J24" s="20"/>
      <c r="K24" s="20"/>
      <c r="L24" s="20"/>
      <c r="M24" s="20"/>
      <c r="N24" s="20"/>
      <c r="O24" s="20"/>
      <c r="P24" s="20"/>
      <c r="Q24" s="22">
        <f t="shared" ref="Q24:Q25" si="348">SUM(E24:P24)</f>
        <v>0</v>
      </c>
      <c r="S24" s="20"/>
      <c r="T24" s="20"/>
      <c r="U24" s="20"/>
      <c r="V24" s="20"/>
      <c r="W24" s="20"/>
      <c r="X24" s="20"/>
      <c r="Y24" s="20"/>
      <c r="Z24" s="20"/>
      <c r="AA24" s="20"/>
      <c r="AB24" s="20"/>
      <c r="AC24" s="20"/>
      <c r="AD24" s="20"/>
      <c r="AE24" s="22">
        <f t="shared" ref="AE24:AE25" si="349">SUM(S24:AD24)</f>
        <v>0</v>
      </c>
      <c r="AG24" s="20"/>
      <c r="AH24" s="20"/>
      <c r="AI24" s="20"/>
      <c r="AJ24" s="20"/>
      <c r="AK24" s="20"/>
      <c r="AL24" s="20"/>
      <c r="AM24" s="20"/>
      <c r="AN24" s="20"/>
      <c r="AO24" s="20"/>
      <c r="AP24" s="20"/>
      <c r="AQ24" s="20"/>
      <c r="AR24" s="20"/>
      <c r="AS24" s="22">
        <f t="shared" ref="AS24:AS25" si="350">SUM(AG24:AR24)</f>
        <v>0</v>
      </c>
      <c r="AU24" s="20"/>
      <c r="AV24" s="20"/>
      <c r="AW24" s="20"/>
      <c r="AX24" s="20"/>
      <c r="AY24" s="20"/>
      <c r="AZ24" s="20"/>
      <c r="BA24" s="20"/>
      <c r="BB24" s="20"/>
      <c r="BC24" s="20"/>
      <c r="BD24" s="20"/>
      <c r="BE24" s="20"/>
      <c r="BF24" s="20"/>
      <c r="BG24" s="22">
        <f t="shared" ref="BG24:BG25" si="351">SUM(AU24:BF24)</f>
        <v>0</v>
      </c>
      <c r="BI24" s="20"/>
      <c r="BJ24" s="20"/>
      <c r="BK24" s="20"/>
      <c r="BL24" s="20"/>
      <c r="BM24" s="20"/>
      <c r="BN24" s="20"/>
      <c r="BO24" s="20"/>
      <c r="BP24" s="20"/>
      <c r="BQ24" s="20"/>
      <c r="BR24" s="20"/>
      <c r="BS24" s="20"/>
      <c r="BT24" s="20"/>
      <c r="BU24" s="22">
        <f t="shared" ref="BU24:BU25" si="352">SUM(BI24:BT24)</f>
        <v>0</v>
      </c>
      <c r="BW24" s="20"/>
      <c r="BX24" s="20"/>
      <c r="BY24" s="20"/>
      <c r="BZ24" s="20"/>
      <c r="CA24" s="20"/>
      <c r="CB24" s="20"/>
      <c r="CC24" s="20"/>
      <c r="CD24" s="20"/>
      <c r="CE24" s="20"/>
      <c r="CF24" s="20"/>
      <c r="CG24" s="20"/>
      <c r="CH24" s="20"/>
      <c r="CI24" s="22">
        <f t="shared" ref="CI24:CI25" si="353">SUM(BW24:CH24)</f>
        <v>0</v>
      </c>
      <c r="CK24" s="20"/>
      <c r="CL24" s="20"/>
      <c r="CM24" s="20"/>
      <c r="CN24" s="20"/>
      <c r="CO24" s="20"/>
      <c r="CP24" s="20"/>
      <c r="CQ24" s="20"/>
      <c r="CR24" s="20"/>
      <c r="CS24" s="20"/>
      <c r="CT24" s="20"/>
      <c r="CU24" s="20"/>
      <c r="CV24" s="20"/>
      <c r="CW24" s="22">
        <f t="shared" ref="CW24:CW25" si="354">SUM(CK24:CV24)</f>
        <v>0</v>
      </c>
      <c r="CY24" s="20"/>
      <c r="CZ24" s="20"/>
      <c r="DA24" s="20"/>
      <c r="DB24" s="20"/>
      <c r="DC24" s="20"/>
      <c r="DD24" s="20"/>
      <c r="DE24" s="20"/>
      <c r="DF24" s="20"/>
      <c r="DG24" s="20"/>
      <c r="DH24" s="20"/>
      <c r="DI24" s="20"/>
      <c r="DJ24" s="20"/>
      <c r="DK24" s="22">
        <f t="shared" ref="DK24:DK25" si="355">SUM(CY24:DJ24)</f>
        <v>0</v>
      </c>
      <c r="DM24" s="20"/>
      <c r="DN24" s="20"/>
      <c r="DO24" s="20"/>
      <c r="DP24" s="20"/>
      <c r="DQ24" s="20"/>
      <c r="DR24" s="20"/>
      <c r="DS24" s="20"/>
      <c r="DT24" s="20"/>
      <c r="DU24" s="20"/>
      <c r="DV24" s="20"/>
      <c r="DW24" s="20"/>
      <c r="DX24" s="20"/>
      <c r="DY24" s="22">
        <f t="shared" ref="DY24:DY25" si="356">SUM(DM24:DX24)</f>
        <v>0</v>
      </c>
      <c r="EA24" s="20"/>
      <c r="EB24" s="20"/>
      <c r="EC24" s="20"/>
      <c r="ED24" s="20"/>
      <c r="EE24" s="20"/>
      <c r="EF24" s="20"/>
      <c r="EG24" s="20"/>
      <c r="EH24" s="20"/>
      <c r="EI24" s="20"/>
      <c r="EJ24" s="20"/>
      <c r="EK24" s="20"/>
      <c r="EL24" s="20"/>
      <c r="EM24" s="22">
        <f t="shared" ref="EM24:EM25" si="357">SUM(EA24:EL24)</f>
        <v>0</v>
      </c>
    </row>
    <row r="25" spans="3:143" x14ac:dyDescent="0.2">
      <c r="C25" s="19" t="s">
        <v>14</v>
      </c>
      <c r="E25" s="20"/>
      <c r="F25" s="20"/>
      <c r="G25" s="20"/>
      <c r="H25" s="20"/>
      <c r="I25" s="20"/>
      <c r="J25" s="20"/>
      <c r="K25" s="20"/>
      <c r="L25" s="20"/>
      <c r="M25" s="20"/>
      <c r="N25" s="20"/>
      <c r="O25" s="20"/>
      <c r="P25" s="20"/>
      <c r="Q25" s="22">
        <f t="shared" si="348"/>
        <v>0</v>
      </c>
      <c r="S25" s="20"/>
      <c r="T25" s="20"/>
      <c r="U25" s="20"/>
      <c r="V25" s="20"/>
      <c r="W25" s="20"/>
      <c r="X25" s="20"/>
      <c r="Y25" s="20"/>
      <c r="Z25" s="20"/>
      <c r="AA25" s="20"/>
      <c r="AB25" s="20"/>
      <c r="AC25" s="20"/>
      <c r="AD25" s="20"/>
      <c r="AE25" s="22">
        <f t="shared" si="349"/>
        <v>0</v>
      </c>
      <c r="AG25" s="20"/>
      <c r="AH25" s="20"/>
      <c r="AI25" s="20"/>
      <c r="AJ25" s="20"/>
      <c r="AK25" s="20"/>
      <c r="AL25" s="20"/>
      <c r="AM25" s="20"/>
      <c r="AN25" s="20"/>
      <c r="AO25" s="20"/>
      <c r="AP25" s="20"/>
      <c r="AQ25" s="20"/>
      <c r="AR25" s="20"/>
      <c r="AS25" s="22">
        <f t="shared" si="350"/>
        <v>0</v>
      </c>
      <c r="AU25" s="20"/>
      <c r="AV25" s="20"/>
      <c r="AW25" s="20"/>
      <c r="AX25" s="20"/>
      <c r="AY25" s="20"/>
      <c r="AZ25" s="20"/>
      <c r="BA25" s="20"/>
      <c r="BB25" s="20"/>
      <c r="BC25" s="20"/>
      <c r="BD25" s="20"/>
      <c r="BE25" s="20"/>
      <c r="BF25" s="20"/>
      <c r="BG25" s="22">
        <f t="shared" si="351"/>
        <v>0</v>
      </c>
      <c r="BI25" s="20"/>
      <c r="BJ25" s="20"/>
      <c r="BK25" s="20"/>
      <c r="BL25" s="20"/>
      <c r="BM25" s="20"/>
      <c r="BN25" s="20"/>
      <c r="BO25" s="20"/>
      <c r="BP25" s="20"/>
      <c r="BQ25" s="20"/>
      <c r="BR25" s="20"/>
      <c r="BS25" s="20"/>
      <c r="BT25" s="20"/>
      <c r="BU25" s="22">
        <f t="shared" si="352"/>
        <v>0</v>
      </c>
      <c r="BW25" s="20"/>
      <c r="BX25" s="20"/>
      <c r="BY25" s="20"/>
      <c r="BZ25" s="20"/>
      <c r="CA25" s="20"/>
      <c r="CB25" s="20"/>
      <c r="CC25" s="20"/>
      <c r="CD25" s="20"/>
      <c r="CE25" s="20"/>
      <c r="CF25" s="20"/>
      <c r="CG25" s="20"/>
      <c r="CH25" s="20"/>
      <c r="CI25" s="22">
        <f t="shared" si="353"/>
        <v>0</v>
      </c>
      <c r="CK25" s="20"/>
      <c r="CL25" s="20"/>
      <c r="CM25" s="20"/>
      <c r="CN25" s="20"/>
      <c r="CO25" s="20"/>
      <c r="CP25" s="20"/>
      <c r="CQ25" s="20"/>
      <c r="CR25" s="20"/>
      <c r="CS25" s="20"/>
      <c r="CT25" s="20"/>
      <c r="CU25" s="20"/>
      <c r="CV25" s="20"/>
      <c r="CW25" s="22">
        <f t="shared" si="354"/>
        <v>0</v>
      </c>
      <c r="CY25" s="20"/>
      <c r="CZ25" s="20"/>
      <c r="DA25" s="20"/>
      <c r="DB25" s="20"/>
      <c r="DC25" s="20"/>
      <c r="DD25" s="20"/>
      <c r="DE25" s="20"/>
      <c r="DF25" s="20"/>
      <c r="DG25" s="20"/>
      <c r="DH25" s="20"/>
      <c r="DI25" s="20"/>
      <c r="DJ25" s="20"/>
      <c r="DK25" s="22">
        <f t="shared" si="355"/>
        <v>0</v>
      </c>
      <c r="DM25" s="20"/>
      <c r="DN25" s="20"/>
      <c r="DO25" s="20"/>
      <c r="DP25" s="20"/>
      <c r="DQ25" s="20"/>
      <c r="DR25" s="20"/>
      <c r="DS25" s="20"/>
      <c r="DT25" s="20"/>
      <c r="DU25" s="20"/>
      <c r="DV25" s="20"/>
      <c r="DW25" s="20"/>
      <c r="DX25" s="20"/>
      <c r="DY25" s="22">
        <f t="shared" si="356"/>
        <v>0</v>
      </c>
      <c r="EA25" s="20"/>
      <c r="EB25" s="20"/>
      <c r="EC25" s="20"/>
      <c r="ED25" s="20"/>
      <c r="EE25" s="20"/>
      <c r="EF25" s="20"/>
      <c r="EG25" s="20"/>
      <c r="EH25" s="20"/>
      <c r="EI25" s="20"/>
      <c r="EJ25" s="20"/>
      <c r="EK25" s="20"/>
      <c r="EL25" s="20"/>
      <c r="EM25" s="22">
        <f t="shared" si="357"/>
        <v>0</v>
      </c>
    </row>
    <row r="26" spans="3:143" x14ac:dyDescent="0.2">
      <c r="C26" s="19" t="s">
        <v>14</v>
      </c>
      <c r="E26" s="20"/>
      <c r="F26" s="20"/>
      <c r="G26" s="20"/>
      <c r="H26" s="20"/>
      <c r="I26" s="20"/>
      <c r="J26" s="20"/>
      <c r="K26" s="20"/>
      <c r="L26" s="20"/>
      <c r="M26" s="20"/>
      <c r="N26" s="20"/>
      <c r="O26" s="20"/>
      <c r="P26" s="20"/>
      <c r="Q26" s="22">
        <f t="shared" ref="Q26:Q32" si="358">SUM(E26:P26)</f>
        <v>0</v>
      </c>
      <c r="S26" s="20"/>
      <c r="T26" s="20"/>
      <c r="U26" s="20"/>
      <c r="V26" s="20"/>
      <c r="W26" s="20"/>
      <c r="X26" s="20"/>
      <c r="Y26" s="20"/>
      <c r="Z26" s="20"/>
      <c r="AA26" s="20"/>
      <c r="AB26" s="20"/>
      <c r="AC26" s="20"/>
      <c r="AD26" s="20"/>
      <c r="AE26" s="22">
        <f t="shared" ref="AE26:AE32" si="359">SUM(S26:AD26)</f>
        <v>0</v>
      </c>
      <c r="AG26" s="20"/>
      <c r="AH26" s="20"/>
      <c r="AI26" s="20"/>
      <c r="AJ26" s="20"/>
      <c r="AK26" s="20"/>
      <c r="AL26" s="20"/>
      <c r="AM26" s="20"/>
      <c r="AN26" s="20"/>
      <c r="AO26" s="20"/>
      <c r="AP26" s="20"/>
      <c r="AQ26" s="20"/>
      <c r="AR26" s="20"/>
      <c r="AS26" s="22">
        <f t="shared" ref="AS26:AS32" si="360">SUM(AG26:AR26)</f>
        <v>0</v>
      </c>
      <c r="AU26" s="20"/>
      <c r="AV26" s="20"/>
      <c r="AW26" s="20"/>
      <c r="AX26" s="20"/>
      <c r="AY26" s="20"/>
      <c r="AZ26" s="20"/>
      <c r="BA26" s="20"/>
      <c r="BB26" s="20"/>
      <c r="BC26" s="20"/>
      <c r="BD26" s="20"/>
      <c r="BE26" s="20"/>
      <c r="BF26" s="20"/>
      <c r="BG26" s="22">
        <f t="shared" ref="BG26:BG32" si="361">SUM(AU26:BF26)</f>
        <v>0</v>
      </c>
      <c r="BI26" s="20"/>
      <c r="BJ26" s="20"/>
      <c r="BK26" s="20"/>
      <c r="BL26" s="20"/>
      <c r="BM26" s="20"/>
      <c r="BN26" s="20"/>
      <c r="BO26" s="20"/>
      <c r="BP26" s="20"/>
      <c r="BQ26" s="20"/>
      <c r="BR26" s="20"/>
      <c r="BS26" s="20"/>
      <c r="BT26" s="20"/>
      <c r="BU26" s="22">
        <f t="shared" ref="BU26:BU32" si="362">SUM(BI26:BT26)</f>
        <v>0</v>
      </c>
      <c r="BW26" s="20"/>
      <c r="BX26" s="20"/>
      <c r="BY26" s="20"/>
      <c r="BZ26" s="20"/>
      <c r="CA26" s="20"/>
      <c r="CB26" s="20"/>
      <c r="CC26" s="20"/>
      <c r="CD26" s="20"/>
      <c r="CE26" s="20"/>
      <c r="CF26" s="20"/>
      <c r="CG26" s="20"/>
      <c r="CH26" s="20"/>
      <c r="CI26" s="22">
        <f t="shared" ref="CI26:CI32" si="363">SUM(BW26:CH26)</f>
        <v>0</v>
      </c>
      <c r="CK26" s="20"/>
      <c r="CL26" s="20"/>
      <c r="CM26" s="20"/>
      <c r="CN26" s="20"/>
      <c r="CO26" s="20"/>
      <c r="CP26" s="20"/>
      <c r="CQ26" s="20"/>
      <c r="CR26" s="20"/>
      <c r="CS26" s="20"/>
      <c r="CT26" s="20"/>
      <c r="CU26" s="20"/>
      <c r="CV26" s="20"/>
      <c r="CW26" s="22">
        <f t="shared" ref="CW26:CW32" si="364">SUM(CK26:CV26)</f>
        <v>0</v>
      </c>
      <c r="CY26" s="20"/>
      <c r="CZ26" s="20"/>
      <c r="DA26" s="20"/>
      <c r="DB26" s="20"/>
      <c r="DC26" s="20"/>
      <c r="DD26" s="20"/>
      <c r="DE26" s="20"/>
      <c r="DF26" s="20"/>
      <c r="DG26" s="20"/>
      <c r="DH26" s="20"/>
      <c r="DI26" s="20"/>
      <c r="DJ26" s="20"/>
      <c r="DK26" s="22">
        <f t="shared" ref="DK26:DK32" si="365">SUM(CY26:DJ26)</f>
        <v>0</v>
      </c>
      <c r="DM26" s="20"/>
      <c r="DN26" s="20"/>
      <c r="DO26" s="20"/>
      <c r="DP26" s="20"/>
      <c r="DQ26" s="20"/>
      <c r="DR26" s="20"/>
      <c r="DS26" s="20"/>
      <c r="DT26" s="20"/>
      <c r="DU26" s="20"/>
      <c r="DV26" s="20"/>
      <c r="DW26" s="20"/>
      <c r="DX26" s="20"/>
      <c r="DY26" s="22">
        <f t="shared" ref="DY26:DY32" si="366">SUM(DM26:DX26)</f>
        <v>0</v>
      </c>
      <c r="EA26" s="20"/>
      <c r="EB26" s="20"/>
      <c r="EC26" s="20"/>
      <c r="ED26" s="20"/>
      <c r="EE26" s="20"/>
      <c r="EF26" s="20"/>
      <c r="EG26" s="20"/>
      <c r="EH26" s="20"/>
      <c r="EI26" s="20"/>
      <c r="EJ26" s="20"/>
      <c r="EK26" s="20"/>
      <c r="EL26" s="20"/>
      <c r="EM26" s="22">
        <f t="shared" ref="EM26:EM32" si="367">SUM(EA26:EL26)</f>
        <v>0</v>
      </c>
    </row>
    <row r="27" spans="3:143" x14ac:dyDescent="0.2">
      <c r="C27" s="19" t="s">
        <v>14</v>
      </c>
      <c r="E27" s="20"/>
      <c r="F27" s="20"/>
      <c r="G27" s="20"/>
      <c r="H27" s="20"/>
      <c r="I27" s="20"/>
      <c r="J27" s="20"/>
      <c r="K27" s="20"/>
      <c r="L27" s="20"/>
      <c r="M27" s="20"/>
      <c r="N27" s="20"/>
      <c r="O27" s="20"/>
      <c r="P27" s="20"/>
      <c r="Q27" s="22">
        <f t="shared" si="358"/>
        <v>0</v>
      </c>
      <c r="S27" s="20"/>
      <c r="T27" s="20"/>
      <c r="U27" s="20"/>
      <c r="V27" s="20"/>
      <c r="W27" s="20"/>
      <c r="X27" s="20"/>
      <c r="Y27" s="20"/>
      <c r="Z27" s="20"/>
      <c r="AA27" s="20"/>
      <c r="AB27" s="20"/>
      <c r="AC27" s="20"/>
      <c r="AD27" s="20"/>
      <c r="AE27" s="22">
        <f t="shared" si="359"/>
        <v>0</v>
      </c>
      <c r="AG27" s="20"/>
      <c r="AH27" s="20"/>
      <c r="AI27" s="20"/>
      <c r="AJ27" s="20"/>
      <c r="AK27" s="20"/>
      <c r="AL27" s="20"/>
      <c r="AM27" s="20"/>
      <c r="AN27" s="20"/>
      <c r="AO27" s="20"/>
      <c r="AP27" s="20"/>
      <c r="AQ27" s="20"/>
      <c r="AR27" s="20"/>
      <c r="AS27" s="22">
        <f t="shared" si="360"/>
        <v>0</v>
      </c>
      <c r="AU27" s="20"/>
      <c r="AV27" s="20"/>
      <c r="AW27" s="20"/>
      <c r="AX27" s="20"/>
      <c r="AY27" s="20"/>
      <c r="AZ27" s="20"/>
      <c r="BA27" s="20"/>
      <c r="BB27" s="20"/>
      <c r="BC27" s="20"/>
      <c r="BD27" s="20"/>
      <c r="BE27" s="20"/>
      <c r="BF27" s="20"/>
      <c r="BG27" s="22">
        <f t="shared" si="361"/>
        <v>0</v>
      </c>
      <c r="BI27" s="20"/>
      <c r="BJ27" s="20"/>
      <c r="BK27" s="20"/>
      <c r="BL27" s="20"/>
      <c r="BM27" s="20"/>
      <c r="BN27" s="20"/>
      <c r="BO27" s="20"/>
      <c r="BP27" s="20"/>
      <c r="BQ27" s="20"/>
      <c r="BR27" s="20"/>
      <c r="BS27" s="20"/>
      <c r="BT27" s="20"/>
      <c r="BU27" s="22">
        <f t="shared" si="362"/>
        <v>0</v>
      </c>
      <c r="BW27" s="20"/>
      <c r="BX27" s="20"/>
      <c r="BY27" s="20"/>
      <c r="BZ27" s="20"/>
      <c r="CA27" s="20"/>
      <c r="CB27" s="20"/>
      <c r="CC27" s="20"/>
      <c r="CD27" s="20"/>
      <c r="CE27" s="20"/>
      <c r="CF27" s="20"/>
      <c r="CG27" s="20"/>
      <c r="CH27" s="20"/>
      <c r="CI27" s="22">
        <f t="shared" si="363"/>
        <v>0</v>
      </c>
      <c r="CK27" s="20"/>
      <c r="CL27" s="20"/>
      <c r="CM27" s="20"/>
      <c r="CN27" s="20"/>
      <c r="CO27" s="20"/>
      <c r="CP27" s="20"/>
      <c r="CQ27" s="20"/>
      <c r="CR27" s="20"/>
      <c r="CS27" s="20"/>
      <c r="CT27" s="20"/>
      <c r="CU27" s="20"/>
      <c r="CV27" s="20"/>
      <c r="CW27" s="22">
        <f t="shared" si="364"/>
        <v>0</v>
      </c>
      <c r="CY27" s="20"/>
      <c r="CZ27" s="20"/>
      <c r="DA27" s="20"/>
      <c r="DB27" s="20"/>
      <c r="DC27" s="20"/>
      <c r="DD27" s="20"/>
      <c r="DE27" s="20"/>
      <c r="DF27" s="20"/>
      <c r="DG27" s="20"/>
      <c r="DH27" s="20"/>
      <c r="DI27" s="20"/>
      <c r="DJ27" s="20"/>
      <c r="DK27" s="22">
        <f t="shared" si="365"/>
        <v>0</v>
      </c>
      <c r="DM27" s="20"/>
      <c r="DN27" s="20"/>
      <c r="DO27" s="20"/>
      <c r="DP27" s="20"/>
      <c r="DQ27" s="20"/>
      <c r="DR27" s="20"/>
      <c r="DS27" s="20"/>
      <c r="DT27" s="20"/>
      <c r="DU27" s="20"/>
      <c r="DV27" s="20"/>
      <c r="DW27" s="20"/>
      <c r="DX27" s="20"/>
      <c r="DY27" s="22">
        <f t="shared" si="366"/>
        <v>0</v>
      </c>
      <c r="EA27" s="20"/>
      <c r="EB27" s="20"/>
      <c r="EC27" s="20"/>
      <c r="ED27" s="20"/>
      <c r="EE27" s="20"/>
      <c r="EF27" s="20"/>
      <c r="EG27" s="20"/>
      <c r="EH27" s="20"/>
      <c r="EI27" s="20"/>
      <c r="EJ27" s="20"/>
      <c r="EK27" s="20"/>
      <c r="EL27" s="20"/>
      <c r="EM27" s="22">
        <f t="shared" si="367"/>
        <v>0</v>
      </c>
    </row>
    <row r="28" spans="3:143" x14ac:dyDescent="0.2">
      <c r="C28" s="19" t="s">
        <v>14</v>
      </c>
      <c r="E28" s="20"/>
      <c r="F28" s="20"/>
      <c r="G28" s="20"/>
      <c r="H28" s="20"/>
      <c r="I28" s="20"/>
      <c r="J28" s="20"/>
      <c r="K28" s="20"/>
      <c r="L28" s="20"/>
      <c r="M28" s="20"/>
      <c r="N28" s="20"/>
      <c r="O28" s="20"/>
      <c r="P28" s="20"/>
      <c r="Q28" s="22">
        <f t="shared" si="358"/>
        <v>0</v>
      </c>
      <c r="S28" s="20"/>
      <c r="T28" s="20"/>
      <c r="U28" s="20"/>
      <c r="V28" s="20"/>
      <c r="W28" s="20"/>
      <c r="X28" s="20"/>
      <c r="Y28" s="20"/>
      <c r="Z28" s="20"/>
      <c r="AA28" s="20"/>
      <c r="AB28" s="20"/>
      <c r="AC28" s="20"/>
      <c r="AD28" s="20"/>
      <c r="AE28" s="22">
        <f t="shared" si="359"/>
        <v>0</v>
      </c>
      <c r="AG28" s="20"/>
      <c r="AH28" s="20"/>
      <c r="AI28" s="20"/>
      <c r="AJ28" s="20"/>
      <c r="AK28" s="20"/>
      <c r="AL28" s="20"/>
      <c r="AM28" s="20"/>
      <c r="AN28" s="20"/>
      <c r="AO28" s="20"/>
      <c r="AP28" s="20"/>
      <c r="AQ28" s="20"/>
      <c r="AR28" s="20"/>
      <c r="AS28" s="22">
        <f t="shared" si="360"/>
        <v>0</v>
      </c>
      <c r="AU28" s="20"/>
      <c r="AV28" s="20"/>
      <c r="AW28" s="20"/>
      <c r="AX28" s="20"/>
      <c r="AY28" s="20"/>
      <c r="AZ28" s="20"/>
      <c r="BA28" s="20"/>
      <c r="BB28" s="20"/>
      <c r="BC28" s="20"/>
      <c r="BD28" s="20"/>
      <c r="BE28" s="20"/>
      <c r="BF28" s="20"/>
      <c r="BG28" s="22">
        <f t="shared" si="361"/>
        <v>0</v>
      </c>
      <c r="BI28" s="20"/>
      <c r="BJ28" s="20"/>
      <c r="BK28" s="20"/>
      <c r="BL28" s="20"/>
      <c r="BM28" s="20"/>
      <c r="BN28" s="20"/>
      <c r="BO28" s="20"/>
      <c r="BP28" s="20"/>
      <c r="BQ28" s="20"/>
      <c r="BR28" s="20"/>
      <c r="BS28" s="20"/>
      <c r="BT28" s="20"/>
      <c r="BU28" s="22">
        <f t="shared" si="362"/>
        <v>0</v>
      </c>
      <c r="BW28" s="20"/>
      <c r="BX28" s="20"/>
      <c r="BY28" s="20"/>
      <c r="BZ28" s="20"/>
      <c r="CA28" s="20"/>
      <c r="CB28" s="20"/>
      <c r="CC28" s="20"/>
      <c r="CD28" s="20"/>
      <c r="CE28" s="20"/>
      <c r="CF28" s="20"/>
      <c r="CG28" s="20"/>
      <c r="CH28" s="20"/>
      <c r="CI28" s="22">
        <f t="shared" si="363"/>
        <v>0</v>
      </c>
      <c r="CK28" s="20"/>
      <c r="CL28" s="20"/>
      <c r="CM28" s="20"/>
      <c r="CN28" s="20"/>
      <c r="CO28" s="20"/>
      <c r="CP28" s="20"/>
      <c r="CQ28" s="20"/>
      <c r="CR28" s="20"/>
      <c r="CS28" s="20"/>
      <c r="CT28" s="20"/>
      <c r="CU28" s="20"/>
      <c r="CV28" s="20"/>
      <c r="CW28" s="22">
        <f t="shared" si="364"/>
        <v>0</v>
      </c>
      <c r="CY28" s="20"/>
      <c r="CZ28" s="20"/>
      <c r="DA28" s="20"/>
      <c r="DB28" s="20"/>
      <c r="DC28" s="20"/>
      <c r="DD28" s="20"/>
      <c r="DE28" s="20"/>
      <c r="DF28" s="20"/>
      <c r="DG28" s="20"/>
      <c r="DH28" s="20"/>
      <c r="DI28" s="20"/>
      <c r="DJ28" s="20"/>
      <c r="DK28" s="22">
        <f t="shared" si="365"/>
        <v>0</v>
      </c>
      <c r="DM28" s="20"/>
      <c r="DN28" s="20"/>
      <c r="DO28" s="20"/>
      <c r="DP28" s="20"/>
      <c r="DQ28" s="20"/>
      <c r="DR28" s="20"/>
      <c r="DS28" s="20"/>
      <c r="DT28" s="20"/>
      <c r="DU28" s="20"/>
      <c r="DV28" s="20"/>
      <c r="DW28" s="20"/>
      <c r="DX28" s="20"/>
      <c r="DY28" s="22">
        <f t="shared" si="366"/>
        <v>0</v>
      </c>
      <c r="EA28" s="20"/>
      <c r="EB28" s="20"/>
      <c r="EC28" s="20"/>
      <c r="ED28" s="20"/>
      <c r="EE28" s="20"/>
      <c r="EF28" s="20"/>
      <c r="EG28" s="20"/>
      <c r="EH28" s="20"/>
      <c r="EI28" s="20"/>
      <c r="EJ28" s="20"/>
      <c r="EK28" s="20"/>
      <c r="EL28" s="20"/>
      <c r="EM28" s="22">
        <f t="shared" si="367"/>
        <v>0</v>
      </c>
    </row>
    <row r="29" spans="3:143" x14ac:dyDescent="0.2">
      <c r="C29" s="19" t="s">
        <v>14</v>
      </c>
      <c r="E29" s="20"/>
      <c r="F29" s="20"/>
      <c r="G29" s="20"/>
      <c r="H29" s="20"/>
      <c r="I29" s="20"/>
      <c r="J29" s="20"/>
      <c r="K29" s="20"/>
      <c r="L29" s="20"/>
      <c r="M29" s="20"/>
      <c r="N29" s="20"/>
      <c r="O29" s="20"/>
      <c r="P29" s="20"/>
      <c r="Q29" s="22">
        <f t="shared" si="358"/>
        <v>0</v>
      </c>
      <c r="S29" s="20"/>
      <c r="T29" s="20"/>
      <c r="U29" s="20"/>
      <c r="V29" s="20"/>
      <c r="W29" s="20"/>
      <c r="X29" s="20"/>
      <c r="Y29" s="20"/>
      <c r="Z29" s="20"/>
      <c r="AA29" s="20"/>
      <c r="AB29" s="20"/>
      <c r="AC29" s="20"/>
      <c r="AD29" s="20"/>
      <c r="AE29" s="22">
        <f t="shared" si="359"/>
        <v>0</v>
      </c>
      <c r="AG29" s="20"/>
      <c r="AH29" s="20"/>
      <c r="AI29" s="20"/>
      <c r="AJ29" s="20"/>
      <c r="AK29" s="20"/>
      <c r="AL29" s="20"/>
      <c r="AM29" s="20"/>
      <c r="AN29" s="20"/>
      <c r="AO29" s="20"/>
      <c r="AP29" s="20"/>
      <c r="AQ29" s="20"/>
      <c r="AR29" s="20"/>
      <c r="AS29" s="22">
        <f t="shared" si="360"/>
        <v>0</v>
      </c>
      <c r="AU29" s="20"/>
      <c r="AV29" s="20"/>
      <c r="AW29" s="20"/>
      <c r="AX29" s="20"/>
      <c r="AY29" s="20"/>
      <c r="AZ29" s="20"/>
      <c r="BA29" s="20"/>
      <c r="BB29" s="20"/>
      <c r="BC29" s="20"/>
      <c r="BD29" s="20"/>
      <c r="BE29" s="20"/>
      <c r="BF29" s="20"/>
      <c r="BG29" s="22">
        <f t="shared" si="361"/>
        <v>0</v>
      </c>
      <c r="BI29" s="20"/>
      <c r="BJ29" s="20"/>
      <c r="BK29" s="20"/>
      <c r="BL29" s="20"/>
      <c r="BM29" s="20"/>
      <c r="BN29" s="20"/>
      <c r="BO29" s="20"/>
      <c r="BP29" s="20"/>
      <c r="BQ29" s="20"/>
      <c r="BR29" s="20"/>
      <c r="BS29" s="20"/>
      <c r="BT29" s="20"/>
      <c r="BU29" s="22">
        <f t="shared" si="362"/>
        <v>0</v>
      </c>
      <c r="BW29" s="20"/>
      <c r="BX29" s="20"/>
      <c r="BY29" s="20"/>
      <c r="BZ29" s="20"/>
      <c r="CA29" s="20"/>
      <c r="CB29" s="20"/>
      <c r="CC29" s="20"/>
      <c r="CD29" s="20"/>
      <c r="CE29" s="20"/>
      <c r="CF29" s="20"/>
      <c r="CG29" s="20"/>
      <c r="CH29" s="20"/>
      <c r="CI29" s="22">
        <f t="shared" si="363"/>
        <v>0</v>
      </c>
      <c r="CK29" s="20"/>
      <c r="CL29" s="20"/>
      <c r="CM29" s="20"/>
      <c r="CN29" s="20"/>
      <c r="CO29" s="20"/>
      <c r="CP29" s="20"/>
      <c r="CQ29" s="20"/>
      <c r="CR29" s="20"/>
      <c r="CS29" s="20"/>
      <c r="CT29" s="20"/>
      <c r="CU29" s="20"/>
      <c r="CV29" s="20"/>
      <c r="CW29" s="22">
        <f t="shared" si="364"/>
        <v>0</v>
      </c>
      <c r="CY29" s="20"/>
      <c r="CZ29" s="20"/>
      <c r="DA29" s="20"/>
      <c r="DB29" s="20"/>
      <c r="DC29" s="20"/>
      <c r="DD29" s="20"/>
      <c r="DE29" s="20"/>
      <c r="DF29" s="20"/>
      <c r="DG29" s="20"/>
      <c r="DH29" s="20"/>
      <c r="DI29" s="20"/>
      <c r="DJ29" s="20"/>
      <c r="DK29" s="22">
        <f t="shared" si="365"/>
        <v>0</v>
      </c>
      <c r="DM29" s="20"/>
      <c r="DN29" s="20"/>
      <c r="DO29" s="20"/>
      <c r="DP29" s="20"/>
      <c r="DQ29" s="20"/>
      <c r="DR29" s="20"/>
      <c r="DS29" s="20"/>
      <c r="DT29" s="20"/>
      <c r="DU29" s="20"/>
      <c r="DV29" s="20"/>
      <c r="DW29" s="20"/>
      <c r="DX29" s="20"/>
      <c r="DY29" s="22">
        <f t="shared" si="366"/>
        <v>0</v>
      </c>
      <c r="EA29" s="20"/>
      <c r="EB29" s="20"/>
      <c r="EC29" s="20"/>
      <c r="ED29" s="20"/>
      <c r="EE29" s="20"/>
      <c r="EF29" s="20"/>
      <c r="EG29" s="20"/>
      <c r="EH29" s="20"/>
      <c r="EI29" s="20"/>
      <c r="EJ29" s="20"/>
      <c r="EK29" s="20"/>
      <c r="EL29" s="20"/>
      <c r="EM29" s="22">
        <f t="shared" si="367"/>
        <v>0</v>
      </c>
    </row>
    <row r="30" spans="3:143" x14ac:dyDescent="0.2">
      <c r="C30" s="19" t="s">
        <v>14</v>
      </c>
      <c r="E30" s="20"/>
      <c r="F30" s="20"/>
      <c r="G30" s="20"/>
      <c r="H30" s="20"/>
      <c r="I30" s="20"/>
      <c r="J30" s="20"/>
      <c r="K30" s="20"/>
      <c r="L30" s="20"/>
      <c r="M30" s="20"/>
      <c r="N30" s="20"/>
      <c r="O30" s="20"/>
      <c r="P30" s="20"/>
      <c r="Q30" s="22">
        <f t="shared" si="358"/>
        <v>0</v>
      </c>
      <c r="S30" s="20"/>
      <c r="T30" s="20"/>
      <c r="U30" s="20"/>
      <c r="V30" s="20"/>
      <c r="W30" s="20"/>
      <c r="X30" s="20"/>
      <c r="Y30" s="20"/>
      <c r="Z30" s="20"/>
      <c r="AA30" s="20"/>
      <c r="AB30" s="20"/>
      <c r="AC30" s="20"/>
      <c r="AD30" s="20"/>
      <c r="AE30" s="22">
        <f t="shared" si="359"/>
        <v>0</v>
      </c>
      <c r="AG30" s="20"/>
      <c r="AH30" s="20"/>
      <c r="AI30" s="20"/>
      <c r="AJ30" s="20"/>
      <c r="AK30" s="20"/>
      <c r="AL30" s="20"/>
      <c r="AM30" s="20"/>
      <c r="AN30" s="20"/>
      <c r="AO30" s="20"/>
      <c r="AP30" s="20"/>
      <c r="AQ30" s="20"/>
      <c r="AR30" s="20"/>
      <c r="AS30" s="22">
        <f t="shared" si="360"/>
        <v>0</v>
      </c>
      <c r="AU30" s="20"/>
      <c r="AV30" s="20"/>
      <c r="AW30" s="20"/>
      <c r="AX30" s="20"/>
      <c r="AY30" s="20"/>
      <c r="AZ30" s="20"/>
      <c r="BA30" s="20"/>
      <c r="BB30" s="20"/>
      <c r="BC30" s="20"/>
      <c r="BD30" s="20"/>
      <c r="BE30" s="20"/>
      <c r="BF30" s="20"/>
      <c r="BG30" s="22">
        <f t="shared" si="361"/>
        <v>0</v>
      </c>
      <c r="BI30" s="20"/>
      <c r="BJ30" s="20"/>
      <c r="BK30" s="20"/>
      <c r="BL30" s="20"/>
      <c r="BM30" s="20"/>
      <c r="BN30" s="20"/>
      <c r="BO30" s="20"/>
      <c r="BP30" s="20"/>
      <c r="BQ30" s="20"/>
      <c r="BR30" s="20"/>
      <c r="BS30" s="20"/>
      <c r="BT30" s="20"/>
      <c r="BU30" s="22">
        <f t="shared" si="362"/>
        <v>0</v>
      </c>
      <c r="BW30" s="20"/>
      <c r="BX30" s="20"/>
      <c r="BY30" s="20"/>
      <c r="BZ30" s="20"/>
      <c r="CA30" s="20"/>
      <c r="CB30" s="20"/>
      <c r="CC30" s="20"/>
      <c r="CD30" s="20"/>
      <c r="CE30" s="20"/>
      <c r="CF30" s="20"/>
      <c r="CG30" s="20"/>
      <c r="CH30" s="20"/>
      <c r="CI30" s="22">
        <f t="shared" si="363"/>
        <v>0</v>
      </c>
      <c r="CK30" s="20"/>
      <c r="CL30" s="20"/>
      <c r="CM30" s="20"/>
      <c r="CN30" s="20"/>
      <c r="CO30" s="20"/>
      <c r="CP30" s="20"/>
      <c r="CQ30" s="20"/>
      <c r="CR30" s="20"/>
      <c r="CS30" s="20"/>
      <c r="CT30" s="20"/>
      <c r="CU30" s="20"/>
      <c r="CV30" s="20"/>
      <c r="CW30" s="22">
        <f t="shared" si="364"/>
        <v>0</v>
      </c>
      <c r="CY30" s="20"/>
      <c r="CZ30" s="20"/>
      <c r="DA30" s="20"/>
      <c r="DB30" s="20"/>
      <c r="DC30" s="20"/>
      <c r="DD30" s="20"/>
      <c r="DE30" s="20"/>
      <c r="DF30" s="20"/>
      <c r="DG30" s="20"/>
      <c r="DH30" s="20"/>
      <c r="DI30" s="20"/>
      <c r="DJ30" s="20"/>
      <c r="DK30" s="22">
        <f t="shared" si="365"/>
        <v>0</v>
      </c>
      <c r="DM30" s="20"/>
      <c r="DN30" s="20"/>
      <c r="DO30" s="20"/>
      <c r="DP30" s="20"/>
      <c r="DQ30" s="20"/>
      <c r="DR30" s="20"/>
      <c r="DS30" s="20"/>
      <c r="DT30" s="20"/>
      <c r="DU30" s="20"/>
      <c r="DV30" s="20"/>
      <c r="DW30" s="20"/>
      <c r="DX30" s="20"/>
      <c r="DY30" s="22">
        <f t="shared" si="366"/>
        <v>0</v>
      </c>
      <c r="EA30" s="20"/>
      <c r="EB30" s="20"/>
      <c r="EC30" s="20"/>
      <c r="ED30" s="20"/>
      <c r="EE30" s="20"/>
      <c r="EF30" s="20"/>
      <c r="EG30" s="20"/>
      <c r="EH30" s="20"/>
      <c r="EI30" s="20"/>
      <c r="EJ30" s="20"/>
      <c r="EK30" s="20"/>
      <c r="EL30" s="20"/>
      <c r="EM30" s="22">
        <f t="shared" si="367"/>
        <v>0</v>
      </c>
    </row>
    <row r="31" spans="3:143" x14ac:dyDescent="0.2">
      <c r="C31" s="19" t="s">
        <v>14</v>
      </c>
      <c r="E31" s="20"/>
      <c r="F31" s="20"/>
      <c r="G31" s="20"/>
      <c r="H31" s="20"/>
      <c r="I31" s="20"/>
      <c r="J31" s="20"/>
      <c r="K31" s="20"/>
      <c r="L31" s="20"/>
      <c r="M31" s="20"/>
      <c r="N31" s="20"/>
      <c r="O31" s="20"/>
      <c r="P31" s="20"/>
      <c r="Q31" s="22">
        <f t="shared" si="358"/>
        <v>0</v>
      </c>
      <c r="S31" s="20"/>
      <c r="T31" s="20"/>
      <c r="U31" s="20"/>
      <c r="V31" s="20"/>
      <c r="W31" s="20"/>
      <c r="X31" s="20"/>
      <c r="Y31" s="20"/>
      <c r="Z31" s="20"/>
      <c r="AA31" s="20"/>
      <c r="AB31" s="20"/>
      <c r="AC31" s="20"/>
      <c r="AD31" s="20"/>
      <c r="AE31" s="22">
        <f t="shared" si="359"/>
        <v>0</v>
      </c>
      <c r="AG31" s="20"/>
      <c r="AH31" s="20"/>
      <c r="AI31" s="20"/>
      <c r="AJ31" s="20"/>
      <c r="AK31" s="20"/>
      <c r="AL31" s="20"/>
      <c r="AM31" s="20"/>
      <c r="AN31" s="20"/>
      <c r="AO31" s="20"/>
      <c r="AP31" s="20"/>
      <c r="AQ31" s="20"/>
      <c r="AR31" s="20"/>
      <c r="AS31" s="22">
        <f t="shared" si="360"/>
        <v>0</v>
      </c>
      <c r="AU31" s="20"/>
      <c r="AV31" s="20"/>
      <c r="AW31" s="20"/>
      <c r="AX31" s="20"/>
      <c r="AY31" s="20"/>
      <c r="AZ31" s="20"/>
      <c r="BA31" s="20"/>
      <c r="BB31" s="20"/>
      <c r="BC31" s="20"/>
      <c r="BD31" s="20"/>
      <c r="BE31" s="20"/>
      <c r="BF31" s="20"/>
      <c r="BG31" s="22">
        <f t="shared" si="361"/>
        <v>0</v>
      </c>
      <c r="BI31" s="20"/>
      <c r="BJ31" s="20"/>
      <c r="BK31" s="20"/>
      <c r="BL31" s="20"/>
      <c r="BM31" s="20"/>
      <c r="BN31" s="20"/>
      <c r="BO31" s="20"/>
      <c r="BP31" s="20"/>
      <c r="BQ31" s="20"/>
      <c r="BR31" s="20"/>
      <c r="BS31" s="20"/>
      <c r="BT31" s="20"/>
      <c r="BU31" s="22">
        <f t="shared" si="362"/>
        <v>0</v>
      </c>
      <c r="BW31" s="20"/>
      <c r="BX31" s="20"/>
      <c r="BY31" s="20"/>
      <c r="BZ31" s="20"/>
      <c r="CA31" s="20"/>
      <c r="CB31" s="20"/>
      <c r="CC31" s="20"/>
      <c r="CD31" s="20"/>
      <c r="CE31" s="20"/>
      <c r="CF31" s="20"/>
      <c r="CG31" s="20"/>
      <c r="CH31" s="20"/>
      <c r="CI31" s="22">
        <f t="shared" si="363"/>
        <v>0</v>
      </c>
      <c r="CK31" s="20"/>
      <c r="CL31" s="20"/>
      <c r="CM31" s="20"/>
      <c r="CN31" s="20"/>
      <c r="CO31" s="20"/>
      <c r="CP31" s="20"/>
      <c r="CQ31" s="20"/>
      <c r="CR31" s="20"/>
      <c r="CS31" s="20"/>
      <c r="CT31" s="20"/>
      <c r="CU31" s="20"/>
      <c r="CV31" s="20"/>
      <c r="CW31" s="22">
        <f t="shared" si="364"/>
        <v>0</v>
      </c>
      <c r="CY31" s="20"/>
      <c r="CZ31" s="20"/>
      <c r="DA31" s="20"/>
      <c r="DB31" s="20"/>
      <c r="DC31" s="20"/>
      <c r="DD31" s="20"/>
      <c r="DE31" s="20"/>
      <c r="DF31" s="20"/>
      <c r="DG31" s="20"/>
      <c r="DH31" s="20"/>
      <c r="DI31" s="20"/>
      <c r="DJ31" s="20"/>
      <c r="DK31" s="22">
        <f t="shared" si="365"/>
        <v>0</v>
      </c>
      <c r="DM31" s="20"/>
      <c r="DN31" s="20"/>
      <c r="DO31" s="20"/>
      <c r="DP31" s="20"/>
      <c r="DQ31" s="20"/>
      <c r="DR31" s="20"/>
      <c r="DS31" s="20"/>
      <c r="DT31" s="20"/>
      <c r="DU31" s="20"/>
      <c r="DV31" s="20"/>
      <c r="DW31" s="20"/>
      <c r="DX31" s="20"/>
      <c r="DY31" s="22">
        <f t="shared" si="366"/>
        <v>0</v>
      </c>
      <c r="EA31" s="20"/>
      <c r="EB31" s="20"/>
      <c r="EC31" s="20"/>
      <c r="ED31" s="20"/>
      <c r="EE31" s="20"/>
      <c r="EF31" s="20"/>
      <c r="EG31" s="20"/>
      <c r="EH31" s="20"/>
      <c r="EI31" s="20"/>
      <c r="EJ31" s="20"/>
      <c r="EK31" s="20"/>
      <c r="EL31" s="20"/>
      <c r="EM31" s="22">
        <f t="shared" si="367"/>
        <v>0</v>
      </c>
    </row>
    <row r="32" spans="3:143" x14ac:dyDescent="0.2">
      <c r="C32" s="19" t="s">
        <v>14</v>
      </c>
      <c r="E32" s="20"/>
      <c r="F32" s="20"/>
      <c r="G32" s="20"/>
      <c r="H32" s="20"/>
      <c r="I32" s="20"/>
      <c r="J32" s="20"/>
      <c r="K32" s="20"/>
      <c r="L32" s="20"/>
      <c r="M32" s="20"/>
      <c r="N32" s="20"/>
      <c r="O32" s="20"/>
      <c r="P32" s="20"/>
      <c r="Q32" s="22">
        <f t="shared" si="358"/>
        <v>0</v>
      </c>
      <c r="S32" s="20"/>
      <c r="T32" s="20"/>
      <c r="U32" s="20"/>
      <c r="V32" s="20"/>
      <c r="W32" s="20"/>
      <c r="X32" s="20"/>
      <c r="Y32" s="20"/>
      <c r="Z32" s="20"/>
      <c r="AA32" s="20"/>
      <c r="AB32" s="20"/>
      <c r="AC32" s="20"/>
      <c r="AD32" s="20"/>
      <c r="AE32" s="22">
        <f t="shared" si="359"/>
        <v>0</v>
      </c>
      <c r="AG32" s="20"/>
      <c r="AH32" s="20"/>
      <c r="AI32" s="20"/>
      <c r="AJ32" s="20"/>
      <c r="AK32" s="20"/>
      <c r="AL32" s="20"/>
      <c r="AM32" s="20"/>
      <c r="AN32" s="20"/>
      <c r="AO32" s="20"/>
      <c r="AP32" s="20"/>
      <c r="AQ32" s="20"/>
      <c r="AR32" s="20"/>
      <c r="AS32" s="22">
        <f t="shared" si="360"/>
        <v>0</v>
      </c>
      <c r="AU32" s="20"/>
      <c r="AV32" s="20"/>
      <c r="AW32" s="20"/>
      <c r="AX32" s="20"/>
      <c r="AY32" s="20"/>
      <c r="AZ32" s="20"/>
      <c r="BA32" s="20"/>
      <c r="BB32" s="20"/>
      <c r="BC32" s="20"/>
      <c r="BD32" s="20"/>
      <c r="BE32" s="20"/>
      <c r="BF32" s="20"/>
      <c r="BG32" s="22">
        <f t="shared" si="361"/>
        <v>0</v>
      </c>
      <c r="BI32" s="20"/>
      <c r="BJ32" s="20"/>
      <c r="BK32" s="20"/>
      <c r="BL32" s="20"/>
      <c r="BM32" s="20"/>
      <c r="BN32" s="20"/>
      <c r="BO32" s="20"/>
      <c r="BP32" s="20"/>
      <c r="BQ32" s="20"/>
      <c r="BR32" s="20"/>
      <c r="BS32" s="20"/>
      <c r="BT32" s="20"/>
      <c r="BU32" s="22">
        <f t="shared" si="362"/>
        <v>0</v>
      </c>
      <c r="BW32" s="20"/>
      <c r="BX32" s="20"/>
      <c r="BY32" s="20"/>
      <c r="BZ32" s="20"/>
      <c r="CA32" s="20"/>
      <c r="CB32" s="20"/>
      <c r="CC32" s="20"/>
      <c r="CD32" s="20"/>
      <c r="CE32" s="20"/>
      <c r="CF32" s="20"/>
      <c r="CG32" s="20"/>
      <c r="CH32" s="20"/>
      <c r="CI32" s="22">
        <f t="shared" si="363"/>
        <v>0</v>
      </c>
      <c r="CK32" s="20"/>
      <c r="CL32" s="20"/>
      <c r="CM32" s="20"/>
      <c r="CN32" s="20"/>
      <c r="CO32" s="20"/>
      <c r="CP32" s="20"/>
      <c r="CQ32" s="20"/>
      <c r="CR32" s="20"/>
      <c r="CS32" s="20"/>
      <c r="CT32" s="20"/>
      <c r="CU32" s="20"/>
      <c r="CV32" s="20"/>
      <c r="CW32" s="22">
        <f t="shared" si="364"/>
        <v>0</v>
      </c>
      <c r="CY32" s="20"/>
      <c r="CZ32" s="20"/>
      <c r="DA32" s="20"/>
      <c r="DB32" s="20"/>
      <c r="DC32" s="20"/>
      <c r="DD32" s="20"/>
      <c r="DE32" s="20"/>
      <c r="DF32" s="20"/>
      <c r="DG32" s="20"/>
      <c r="DH32" s="20"/>
      <c r="DI32" s="20"/>
      <c r="DJ32" s="20"/>
      <c r="DK32" s="22">
        <f t="shared" si="365"/>
        <v>0</v>
      </c>
      <c r="DM32" s="20"/>
      <c r="DN32" s="20"/>
      <c r="DO32" s="20"/>
      <c r="DP32" s="20"/>
      <c r="DQ32" s="20"/>
      <c r="DR32" s="20"/>
      <c r="DS32" s="20"/>
      <c r="DT32" s="20"/>
      <c r="DU32" s="20"/>
      <c r="DV32" s="20"/>
      <c r="DW32" s="20"/>
      <c r="DX32" s="20"/>
      <c r="DY32" s="22">
        <f t="shared" si="366"/>
        <v>0</v>
      </c>
      <c r="EA32" s="20"/>
      <c r="EB32" s="20"/>
      <c r="EC32" s="20"/>
      <c r="ED32" s="20"/>
      <c r="EE32" s="20"/>
      <c r="EF32" s="20"/>
      <c r="EG32" s="20"/>
      <c r="EH32" s="20"/>
      <c r="EI32" s="20"/>
      <c r="EJ32" s="20"/>
      <c r="EK32" s="20"/>
      <c r="EL32" s="20"/>
      <c r="EM32" s="22">
        <f t="shared" si="367"/>
        <v>0</v>
      </c>
    </row>
    <row r="33" spans="3:143" x14ac:dyDescent="0.2">
      <c r="C33" s="19" t="s">
        <v>14</v>
      </c>
      <c r="E33" s="20"/>
      <c r="F33" s="20"/>
      <c r="G33" s="20"/>
      <c r="H33" s="20"/>
      <c r="I33" s="20"/>
      <c r="J33" s="20"/>
      <c r="K33" s="20"/>
      <c r="L33" s="20"/>
      <c r="M33" s="20"/>
      <c r="N33" s="20"/>
      <c r="O33" s="20"/>
      <c r="P33" s="20"/>
      <c r="Q33" s="22">
        <f t="shared" ref="Q33:Q57" si="368">SUM(E33:P33)</f>
        <v>0</v>
      </c>
      <c r="S33" s="20"/>
      <c r="T33" s="20"/>
      <c r="U33" s="20"/>
      <c r="V33" s="20"/>
      <c r="W33" s="20"/>
      <c r="X33" s="20"/>
      <c r="Y33" s="20"/>
      <c r="Z33" s="20"/>
      <c r="AA33" s="20"/>
      <c r="AB33" s="20"/>
      <c r="AC33" s="20"/>
      <c r="AD33" s="20"/>
      <c r="AE33" s="22">
        <f t="shared" ref="AE33:AE57" si="369">SUM(S33:AD33)</f>
        <v>0</v>
      </c>
      <c r="AG33" s="20"/>
      <c r="AH33" s="20"/>
      <c r="AI33" s="20"/>
      <c r="AJ33" s="20"/>
      <c r="AK33" s="20"/>
      <c r="AL33" s="20"/>
      <c r="AM33" s="20"/>
      <c r="AN33" s="20"/>
      <c r="AO33" s="20"/>
      <c r="AP33" s="20"/>
      <c r="AQ33" s="20"/>
      <c r="AR33" s="20"/>
      <c r="AS33" s="22">
        <f t="shared" ref="AS33:AS57" si="370">SUM(AG33:AR33)</f>
        <v>0</v>
      </c>
      <c r="AU33" s="20"/>
      <c r="AV33" s="20"/>
      <c r="AW33" s="20"/>
      <c r="AX33" s="20"/>
      <c r="AY33" s="20"/>
      <c r="AZ33" s="20"/>
      <c r="BA33" s="20"/>
      <c r="BB33" s="20"/>
      <c r="BC33" s="20"/>
      <c r="BD33" s="20"/>
      <c r="BE33" s="20"/>
      <c r="BF33" s="20"/>
      <c r="BG33" s="22">
        <f t="shared" ref="BG33:BG57" si="371">SUM(AU33:BF33)</f>
        <v>0</v>
      </c>
      <c r="BI33" s="20"/>
      <c r="BJ33" s="20"/>
      <c r="BK33" s="20"/>
      <c r="BL33" s="20"/>
      <c r="BM33" s="20"/>
      <c r="BN33" s="20"/>
      <c r="BO33" s="20"/>
      <c r="BP33" s="20"/>
      <c r="BQ33" s="20"/>
      <c r="BR33" s="20"/>
      <c r="BS33" s="20"/>
      <c r="BT33" s="20"/>
      <c r="BU33" s="22">
        <f t="shared" ref="BU33:BU57" si="372">SUM(BI33:BT33)</f>
        <v>0</v>
      </c>
      <c r="BW33" s="20"/>
      <c r="BX33" s="20"/>
      <c r="BY33" s="20"/>
      <c r="BZ33" s="20"/>
      <c r="CA33" s="20"/>
      <c r="CB33" s="20"/>
      <c r="CC33" s="20"/>
      <c r="CD33" s="20"/>
      <c r="CE33" s="20"/>
      <c r="CF33" s="20"/>
      <c r="CG33" s="20"/>
      <c r="CH33" s="20"/>
      <c r="CI33" s="22">
        <f t="shared" ref="CI33:CI57" si="373">SUM(BW33:CH33)</f>
        <v>0</v>
      </c>
      <c r="CK33" s="20"/>
      <c r="CL33" s="20"/>
      <c r="CM33" s="20"/>
      <c r="CN33" s="20"/>
      <c r="CO33" s="20"/>
      <c r="CP33" s="20"/>
      <c r="CQ33" s="20"/>
      <c r="CR33" s="20"/>
      <c r="CS33" s="20"/>
      <c r="CT33" s="20"/>
      <c r="CU33" s="20"/>
      <c r="CV33" s="20"/>
      <c r="CW33" s="22">
        <f t="shared" ref="CW33:CW57" si="374">SUM(CK33:CV33)</f>
        <v>0</v>
      </c>
      <c r="CY33" s="20"/>
      <c r="CZ33" s="20"/>
      <c r="DA33" s="20"/>
      <c r="DB33" s="20"/>
      <c r="DC33" s="20"/>
      <c r="DD33" s="20"/>
      <c r="DE33" s="20"/>
      <c r="DF33" s="20"/>
      <c r="DG33" s="20"/>
      <c r="DH33" s="20"/>
      <c r="DI33" s="20"/>
      <c r="DJ33" s="20"/>
      <c r="DK33" s="22">
        <f t="shared" ref="DK33:DK57" si="375">SUM(CY33:DJ33)</f>
        <v>0</v>
      </c>
      <c r="DM33" s="20"/>
      <c r="DN33" s="20"/>
      <c r="DO33" s="20"/>
      <c r="DP33" s="20"/>
      <c r="DQ33" s="20"/>
      <c r="DR33" s="20"/>
      <c r="DS33" s="20"/>
      <c r="DT33" s="20"/>
      <c r="DU33" s="20"/>
      <c r="DV33" s="20"/>
      <c r="DW33" s="20"/>
      <c r="DX33" s="20"/>
      <c r="DY33" s="22">
        <f t="shared" ref="DY33:DY57" si="376">SUM(DM33:DX33)</f>
        <v>0</v>
      </c>
      <c r="EA33" s="20"/>
      <c r="EB33" s="20"/>
      <c r="EC33" s="20"/>
      <c r="ED33" s="20"/>
      <c r="EE33" s="20"/>
      <c r="EF33" s="20"/>
      <c r="EG33" s="20"/>
      <c r="EH33" s="20"/>
      <c r="EI33" s="20"/>
      <c r="EJ33" s="20"/>
      <c r="EK33" s="20"/>
      <c r="EL33" s="20"/>
      <c r="EM33" s="22">
        <f t="shared" ref="EM33:EM57" si="377">SUM(EA33:EL33)</f>
        <v>0</v>
      </c>
    </row>
    <row r="34" spans="3:143" x14ac:dyDescent="0.2">
      <c r="C34" s="19" t="s">
        <v>14</v>
      </c>
      <c r="E34" s="20"/>
      <c r="F34" s="20"/>
      <c r="G34" s="20"/>
      <c r="H34" s="20"/>
      <c r="I34" s="20"/>
      <c r="J34" s="20"/>
      <c r="K34" s="20"/>
      <c r="L34" s="20"/>
      <c r="M34" s="20"/>
      <c r="N34" s="20"/>
      <c r="O34" s="20"/>
      <c r="P34" s="20"/>
      <c r="Q34" s="22">
        <f t="shared" si="368"/>
        <v>0</v>
      </c>
      <c r="S34" s="20"/>
      <c r="T34" s="20"/>
      <c r="U34" s="20"/>
      <c r="V34" s="20"/>
      <c r="W34" s="20"/>
      <c r="X34" s="20"/>
      <c r="Y34" s="20"/>
      <c r="Z34" s="20"/>
      <c r="AA34" s="20"/>
      <c r="AB34" s="20"/>
      <c r="AC34" s="20"/>
      <c r="AD34" s="20"/>
      <c r="AE34" s="22">
        <f t="shared" si="369"/>
        <v>0</v>
      </c>
      <c r="AG34" s="20"/>
      <c r="AH34" s="20"/>
      <c r="AI34" s="20"/>
      <c r="AJ34" s="20"/>
      <c r="AK34" s="20"/>
      <c r="AL34" s="20"/>
      <c r="AM34" s="20"/>
      <c r="AN34" s="20"/>
      <c r="AO34" s="20"/>
      <c r="AP34" s="20"/>
      <c r="AQ34" s="20"/>
      <c r="AR34" s="20"/>
      <c r="AS34" s="22">
        <f t="shared" si="370"/>
        <v>0</v>
      </c>
      <c r="AU34" s="20"/>
      <c r="AV34" s="20"/>
      <c r="AW34" s="20"/>
      <c r="AX34" s="20"/>
      <c r="AY34" s="20"/>
      <c r="AZ34" s="20"/>
      <c r="BA34" s="20"/>
      <c r="BB34" s="20"/>
      <c r="BC34" s="20"/>
      <c r="BD34" s="20"/>
      <c r="BE34" s="20"/>
      <c r="BF34" s="20"/>
      <c r="BG34" s="22">
        <f t="shared" si="371"/>
        <v>0</v>
      </c>
      <c r="BI34" s="20"/>
      <c r="BJ34" s="20"/>
      <c r="BK34" s="20"/>
      <c r="BL34" s="20"/>
      <c r="BM34" s="20"/>
      <c r="BN34" s="20"/>
      <c r="BO34" s="20"/>
      <c r="BP34" s="20"/>
      <c r="BQ34" s="20"/>
      <c r="BR34" s="20"/>
      <c r="BS34" s="20"/>
      <c r="BT34" s="20"/>
      <c r="BU34" s="22">
        <f t="shared" si="372"/>
        <v>0</v>
      </c>
      <c r="BW34" s="20"/>
      <c r="BX34" s="20"/>
      <c r="BY34" s="20"/>
      <c r="BZ34" s="20"/>
      <c r="CA34" s="20"/>
      <c r="CB34" s="20"/>
      <c r="CC34" s="20"/>
      <c r="CD34" s="20"/>
      <c r="CE34" s="20"/>
      <c r="CF34" s="20"/>
      <c r="CG34" s="20"/>
      <c r="CH34" s="20"/>
      <c r="CI34" s="22">
        <f t="shared" si="373"/>
        <v>0</v>
      </c>
      <c r="CK34" s="20"/>
      <c r="CL34" s="20"/>
      <c r="CM34" s="20"/>
      <c r="CN34" s="20"/>
      <c r="CO34" s="20"/>
      <c r="CP34" s="20"/>
      <c r="CQ34" s="20"/>
      <c r="CR34" s="20"/>
      <c r="CS34" s="20"/>
      <c r="CT34" s="20"/>
      <c r="CU34" s="20"/>
      <c r="CV34" s="20"/>
      <c r="CW34" s="22">
        <f t="shared" si="374"/>
        <v>0</v>
      </c>
      <c r="CY34" s="20"/>
      <c r="CZ34" s="20"/>
      <c r="DA34" s="20"/>
      <c r="DB34" s="20"/>
      <c r="DC34" s="20"/>
      <c r="DD34" s="20"/>
      <c r="DE34" s="20"/>
      <c r="DF34" s="20"/>
      <c r="DG34" s="20"/>
      <c r="DH34" s="20"/>
      <c r="DI34" s="20"/>
      <c r="DJ34" s="20"/>
      <c r="DK34" s="22">
        <f t="shared" si="375"/>
        <v>0</v>
      </c>
      <c r="DM34" s="20"/>
      <c r="DN34" s="20"/>
      <c r="DO34" s="20"/>
      <c r="DP34" s="20"/>
      <c r="DQ34" s="20"/>
      <c r="DR34" s="20"/>
      <c r="DS34" s="20"/>
      <c r="DT34" s="20"/>
      <c r="DU34" s="20"/>
      <c r="DV34" s="20"/>
      <c r="DW34" s="20"/>
      <c r="DX34" s="20"/>
      <c r="DY34" s="22">
        <f t="shared" si="376"/>
        <v>0</v>
      </c>
      <c r="EA34" s="20"/>
      <c r="EB34" s="20"/>
      <c r="EC34" s="20"/>
      <c r="ED34" s="20"/>
      <c r="EE34" s="20"/>
      <c r="EF34" s="20"/>
      <c r="EG34" s="20"/>
      <c r="EH34" s="20"/>
      <c r="EI34" s="20"/>
      <c r="EJ34" s="20"/>
      <c r="EK34" s="20"/>
      <c r="EL34" s="20"/>
      <c r="EM34" s="22">
        <f t="shared" si="377"/>
        <v>0</v>
      </c>
    </row>
    <row r="35" spans="3:143" x14ac:dyDescent="0.2">
      <c r="C35" s="19" t="s">
        <v>14</v>
      </c>
      <c r="E35" s="20"/>
      <c r="F35" s="20"/>
      <c r="G35" s="20"/>
      <c r="H35" s="20"/>
      <c r="I35" s="20"/>
      <c r="J35" s="20"/>
      <c r="K35" s="20"/>
      <c r="L35" s="20"/>
      <c r="M35" s="20"/>
      <c r="N35" s="20"/>
      <c r="O35" s="20"/>
      <c r="P35" s="20"/>
      <c r="Q35" s="22">
        <f t="shared" si="368"/>
        <v>0</v>
      </c>
      <c r="S35" s="20"/>
      <c r="T35" s="20"/>
      <c r="U35" s="20"/>
      <c r="V35" s="20"/>
      <c r="W35" s="20"/>
      <c r="X35" s="20"/>
      <c r="Y35" s="20"/>
      <c r="Z35" s="20"/>
      <c r="AA35" s="20"/>
      <c r="AB35" s="20"/>
      <c r="AC35" s="20"/>
      <c r="AD35" s="20"/>
      <c r="AE35" s="22">
        <f t="shared" si="369"/>
        <v>0</v>
      </c>
      <c r="AG35" s="20"/>
      <c r="AH35" s="20"/>
      <c r="AI35" s="20"/>
      <c r="AJ35" s="20"/>
      <c r="AK35" s="20"/>
      <c r="AL35" s="20"/>
      <c r="AM35" s="20"/>
      <c r="AN35" s="20"/>
      <c r="AO35" s="20"/>
      <c r="AP35" s="20"/>
      <c r="AQ35" s="20"/>
      <c r="AR35" s="20"/>
      <c r="AS35" s="22">
        <f t="shared" si="370"/>
        <v>0</v>
      </c>
      <c r="AU35" s="20"/>
      <c r="AV35" s="20"/>
      <c r="AW35" s="20"/>
      <c r="AX35" s="20"/>
      <c r="AY35" s="20"/>
      <c r="AZ35" s="20"/>
      <c r="BA35" s="20"/>
      <c r="BB35" s="20"/>
      <c r="BC35" s="20"/>
      <c r="BD35" s="20"/>
      <c r="BE35" s="20"/>
      <c r="BF35" s="20"/>
      <c r="BG35" s="22">
        <f t="shared" si="371"/>
        <v>0</v>
      </c>
      <c r="BI35" s="20"/>
      <c r="BJ35" s="20"/>
      <c r="BK35" s="20"/>
      <c r="BL35" s="20"/>
      <c r="BM35" s="20"/>
      <c r="BN35" s="20"/>
      <c r="BO35" s="20"/>
      <c r="BP35" s="20"/>
      <c r="BQ35" s="20"/>
      <c r="BR35" s="20"/>
      <c r="BS35" s="20"/>
      <c r="BT35" s="20"/>
      <c r="BU35" s="22">
        <f t="shared" si="372"/>
        <v>0</v>
      </c>
      <c r="BW35" s="20"/>
      <c r="BX35" s="20"/>
      <c r="BY35" s="20"/>
      <c r="BZ35" s="20"/>
      <c r="CA35" s="20"/>
      <c r="CB35" s="20"/>
      <c r="CC35" s="20"/>
      <c r="CD35" s="20"/>
      <c r="CE35" s="20"/>
      <c r="CF35" s="20"/>
      <c r="CG35" s="20"/>
      <c r="CH35" s="20"/>
      <c r="CI35" s="22">
        <f t="shared" si="373"/>
        <v>0</v>
      </c>
      <c r="CK35" s="20"/>
      <c r="CL35" s="20"/>
      <c r="CM35" s="20"/>
      <c r="CN35" s="20"/>
      <c r="CO35" s="20"/>
      <c r="CP35" s="20"/>
      <c r="CQ35" s="20"/>
      <c r="CR35" s="20"/>
      <c r="CS35" s="20"/>
      <c r="CT35" s="20"/>
      <c r="CU35" s="20"/>
      <c r="CV35" s="20"/>
      <c r="CW35" s="22">
        <f t="shared" si="374"/>
        <v>0</v>
      </c>
      <c r="CY35" s="20"/>
      <c r="CZ35" s="20"/>
      <c r="DA35" s="20"/>
      <c r="DB35" s="20"/>
      <c r="DC35" s="20"/>
      <c r="DD35" s="20"/>
      <c r="DE35" s="20"/>
      <c r="DF35" s="20"/>
      <c r="DG35" s="20"/>
      <c r="DH35" s="20"/>
      <c r="DI35" s="20"/>
      <c r="DJ35" s="20"/>
      <c r="DK35" s="22">
        <f t="shared" si="375"/>
        <v>0</v>
      </c>
      <c r="DM35" s="20"/>
      <c r="DN35" s="20"/>
      <c r="DO35" s="20"/>
      <c r="DP35" s="20"/>
      <c r="DQ35" s="20"/>
      <c r="DR35" s="20"/>
      <c r="DS35" s="20"/>
      <c r="DT35" s="20"/>
      <c r="DU35" s="20"/>
      <c r="DV35" s="20"/>
      <c r="DW35" s="20"/>
      <c r="DX35" s="20"/>
      <c r="DY35" s="22">
        <f t="shared" si="376"/>
        <v>0</v>
      </c>
      <c r="EA35" s="20"/>
      <c r="EB35" s="20"/>
      <c r="EC35" s="20"/>
      <c r="ED35" s="20"/>
      <c r="EE35" s="20"/>
      <c r="EF35" s="20"/>
      <c r="EG35" s="20"/>
      <c r="EH35" s="20"/>
      <c r="EI35" s="20"/>
      <c r="EJ35" s="20"/>
      <c r="EK35" s="20"/>
      <c r="EL35" s="20"/>
      <c r="EM35" s="22">
        <f t="shared" si="377"/>
        <v>0</v>
      </c>
    </row>
    <row r="36" spans="3:143" x14ac:dyDescent="0.2">
      <c r="C36" s="19" t="s">
        <v>14</v>
      </c>
      <c r="E36" s="20"/>
      <c r="F36" s="20"/>
      <c r="G36" s="20"/>
      <c r="H36" s="20"/>
      <c r="I36" s="20"/>
      <c r="J36" s="20"/>
      <c r="K36" s="20"/>
      <c r="L36" s="20"/>
      <c r="M36" s="20"/>
      <c r="N36" s="20"/>
      <c r="O36" s="20"/>
      <c r="P36" s="20"/>
      <c r="Q36" s="22">
        <f t="shared" si="368"/>
        <v>0</v>
      </c>
      <c r="S36" s="20"/>
      <c r="T36" s="20"/>
      <c r="U36" s="20"/>
      <c r="V36" s="20"/>
      <c r="W36" s="20"/>
      <c r="X36" s="20"/>
      <c r="Y36" s="20"/>
      <c r="Z36" s="20"/>
      <c r="AA36" s="20"/>
      <c r="AB36" s="20"/>
      <c r="AC36" s="20"/>
      <c r="AD36" s="20"/>
      <c r="AE36" s="22">
        <f t="shared" si="369"/>
        <v>0</v>
      </c>
      <c r="AG36" s="20"/>
      <c r="AH36" s="20"/>
      <c r="AI36" s="20"/>
      <c r="AJ36" s="20"/>
      <c r="AK36" s="20"/>
      <c r="AL36" s="20"/>
      <c r="AM36" s="20"/>
      <c r="AN36" s="20"/>
      <c r="AO36" s="20"/>
      <c r="AP36" s="20"/>
      <c r="AQ36" s="20"/>
      <c r="AR36" s="20"/>
      <c r="AS36" s="22">
        <f t="shared" si="370"/>
        <v>0</v>
      </c>
      <c r="AU36" s="20"/>
      <c r="AV36" s="20"/>
      <c r="AW36" s="20"/>
      <c r="AX36" s="20"/>
      <c r="AY36" s="20"/>
      <c r="AZ36" s="20"/>
      <c r="BA36" s="20"/>
      <c r="BB36" s="20"/>
      <c r="BC36" s="20"/>
      <c r="BD36" s="20"/>
      <c r="BE36" s="20"/>
      <c r="BF36" s="20"/>
      <c r="BG36" s="22">
        <f t="shared" si="371"/>
        <v>0</v>
      </c>
      <c r="BI36" s="20"/>
      <c r="BJ36" s="20"/>
      <c r="BK36" s="20"/>
      <c r="BL36" s="20"/>
      <c r="BM36" s="20"/>
      <c r="BN36" s="20"/>
      <c r="BO36" s="20"/>
      <c r="BP36" s="20"/>
      <c r="BQ36" s="20"/>
      <c r="BR36" s="20"/>
      <c r="BS36" s="20"/>
      <c r="BT36" s="20"/>
      <c r="BU36" s="22">
        <f t="shared" si="372"/>
        <v>0</v>
      </c>
      <c r="BW36" s="20"/>
      <c r="BX36" s="20"/>
      <c r="BY36" s="20"/>
      <c r="BZ36" s="20"/>
      <c r="CA36" s="20"/>
      <c r="CB36" s="20"/>
      <c r="CC36" s="20"/>
      <c r="CD36" s="20"/>
      <c r="CE36" s="20"/>
      <c r="CF36" s="20"/>
      <c r="CG36" s="20"/>
      <c r="CH36" s="20"/>
      <c r="CI36" s="22">
        <f t="shared" si="373"/>
        <v>0</v>
      </c>
      <c r="CK36" s="20"/>
      <c r="CL36" s="20"/>
      <c r="CM36" s="20"/>
      <c r="CN36" s="20"/>
      <c r="CO36" s="20"/>
      <c r="CP36" s="20"/>
      <c r="CQ36" s="20"/>
      <c r="CR36" s="20"/>
      <c r="CS36" s="20"/>
      <c r="CT36" s="20"/>
      <c r="CU36" s="20"/>
      <c r="CV36" s="20"/>
      <c r="CW36" s="22">
        <f t="shared" si="374"/>
        <v>0</v>
      </c>
      <c r="CY36" s="20"/>
      <c r="CZ36" s="20"/>
      <c r="DA36" s="20"/>
      <c r="DB36" s="20"/>
      <c r="DC36" s="20"/>
      <c r="DD36" s="20"/>
      <c r="DE36" s="20"/>
      <c r="DF36" s="20"/>
      <c r="DG36" s="20"/>
      <c r="DH36" s="20"/>
      <c r="DI36" s="20"/>
      <c r="DJ36" s="20"/>
      <c r="DK36" s="22">
        <f t="shared" si="375"/>
        <v>0</v>
      </c>
      <c r="DM36" s="20"/>
      <c r="DN36" s="20"/>
      <c r="DO36" s="20"/>
      <c r="DP36" s="20"/>
      <c r="DQ36" s="20"/>
      <c r="DR36" s="20"/>
      <c r="DS36" s="20"/>
      <c r="DT36" s="20"/>
      <c r="DU36" s="20"/>
      <c r="DV36" s="20"/>
      <c r="DW36" s="20"/>
      <c r="DX36" s="20"/>
      <c r="DY36" s="22">
        <f t="shared" si="376"/>
        <v>0</v>
      </c>
      <c r="EA36" s="20"/>
      <c r="EB36" s="20"/>
      <c r="EC36" s="20"/>
      <c r="ED36" s="20"/>
      <c r="EE36" s="20"/>
      <c r="EF36" s="20"/>
      <c r="EG36" s="20"/>
      <c r="EH36" s="20"/>
      <c r="EI36" s="20"/>
      <c r="EJ36" s="20"/>
      <c r="EK36" s="20"/>
      <c r="EL36" s="20"/>
      <c r="EM36" s="22">
        <f t="shared" si="377"/>
        <v>0</v>
      </c>
    </row>
    <row r="37" spans="3:143" x14ac:dyDescent="0.2">
      <c r="C37" s="19" t="s">
        <v>14</v>
      </c>
      <c r="E37" s="20"/>
      <c r="F37" s="20"/>
      <c r="G37" s="20"/>
      <c r="H37" s="20"/>
      <c r="I37" s="20"/>
      <c r="J37" s="20"/>
      <c r="K37" s="20"/>
      <c r="L37" s="20"/>
      <c r="M37" s="20"/>
      <c r="N37" s="20"/>
      <c r="O37" s="20"/>
      <c r="P37" s="20"/>
      <c r="Q37" s="22">
        <f t="shared" si="368"/>
        <v>0</v>
      </c>
      <c r="S37" s="20"/>
      <c r="T37" s="20"/>
      <c r="U37" s="20"/>
      <c r="V37" s="20"/>
      <c r="W37" s="20"/>
      <c r="X37" s="20"/>
      <c r="Y37" s="20"/>
      <c r="Z37" s="20"/>
      <c r="AA37" s="20"/>
      <c r="AB37" s="20"/>
      <c r="AC37" s="20"/>
      <c r="AD37" s="20"/>
      <c r="AE37" s="22">
        <f t="shared" si="369"/>
        <v>0</v>
      </c>
      <c r="AG37" s="20"/>
      <c r="AH37" s="20"/>
      <c r="AI37" s="20"/>
      <c r="AJ37" s="20"/>
      <c r="AK37" s="20"/>
      <c r="AL37" s="20"/>
      <c r="AM37" s="20"/>
      <c r="AN37" s="20"/>
      <c r="AO37" s="20"/>
      <c r="AP37" s="20"/>
      <c r="AQ37" s="20"/>
      <c r="AR37" s="20"/>
      <c r="AS37" s="22">
        <f t="shared" si="370"/>
        <v>0</v>
      </c>
      <c r="AU37" s="20"/>
      <c r="AV37" s="20"/>
      <c r="AW37" s="20"/>
      <c r="AX37" s="20"/>
      <c r="AY37" s="20"/>
      <c r="AZ37" s="20"/>
      <c r="BA37" s="20"/>
      <c r="BB37" s="20"/>
      <c r="BC37" s="20"/>
      <c r="BD37" s="20"/>
      <c r="BE37" s="20"/>
      <c r="BF37" s="20"/>
      <c r="BG37" s="22">
        <f t="shared" si="371"/>
        <v>0</v>
      </c>
      <c r="BI37" s="20"/>
      <c r="BJ37" s="20"/>
      <c r="BK37" s="20"/>
      <c r="BL37" s="20"/>
      <c r="BM37" s="20"/>
      <c r="BN37" s="20"/>
      <c r="BO37" s="20"/>
      <c r="BP37" s="20"/>
      <c r="BQ37" s="20"/>
      <c r="BR37" s="20"/>
      <c r="BS37" s="20"/>
      <c r="BT37" s="20"/>
      <c r="BU37" s="22">
        <f t="shared" si="372"/>
        <v>0</v>
      </c>
      <c r="BW37" s="20"/>
      <c r="BX37" s="20"/>
      <c r="BY37" s="20"/>
      <c r="BZ37" s="20"/>
      <c r="CA37" s="20"/>
      <c r="CB37" s="20"/>
      <c r="CC37" s="20"/>
      <c r="CD37" s="20"/>
      <c r="CE37" s="20"/>
      <c r="CF37" s="20"/>
      <c r="CG37" s="20"/>
      <c r="CH37" s="20"/>
      <c r="CI37" s="22">
        <f t="shared" si="373"/>
        <v>0</v>
      </c>
      <c r="CK37" s="20"/>
      <c r="CL37" s="20"/>
      <c r="CM37" s="20"/>
      <c r="CN37" s="20"/>
      <c r="CO37" s="20"/>
      <c r="CP37" s="20"/>
      <c r="CQ37" s="20"/>
      <c r="CR37" s="20"/>
      <c r="CS37" s="20"/>
      <c r="CT37" s="20"/>
      <c r="CU37" s="20"/>
      <c r="CV37" s="20"/>
      <c r="CW37" s="22">
        <f t="shared" si="374"/>
        <v>0</v>
      </c>
      <c r="CY37" s="20"/>
      <c r="CZ37" s="20"/>
      <c r="DA37" s="20"/>
      <c r="DB37" s="20"/>
      <c r="DC37" s="20"/>
      <c r="DD37" s="20"/>
      <c r="DE37" s="20"/>
      <c r="DF37" s="20"/>
      <c r="DG37" s="20"/>
      <c r="DH37" s="20"/>
      <c r="DI37" s="20"/>
      <c r="DJ37" s="20"/>
      <c r="DK37" s="22">
        <f t="shared" si="375"/>
        <v>0</v>
      </c>
      <c r="DM37" s="20"/>
      <c r="DN37" s="20"/>
      <c r="DO37" s="20"/>
      <c r="DP37" s="20"/>
      <c r="DQ37" s="20"/>
      <c r="DR37" s="20"/>
      <c r="DS37" s="20"/>
      <c r="DT37" s="20"/>
      <c r="DU37" s="20"/>
      <c r="DV37" s="20"/>
      <c r="DW37" s="20"/>
      <c r="DX37" s="20"/>
      <c r="DY37" s="22">
        <f t="shared" si="376"/>
        <v>0</v>
      </c>
      <c r="EA37" s="20"/>
      <c r="EB37" s="20"/>
      <c r="EC37" s="20"/>
      <c r="ED37" s="20"/>
      <c r="EE37" s="20"/>
      <c r="EF37" s="20"/>
      <c r="EG37" s="20"/>
      <c r="EH37" s="20"/>
      <c r="EI37" s="20"/>
      <c r="EJ37" s="20"/>
      <c r="EK37" s="20"/>
      <c r="EL37" s="20"/>
      <c r="EM37" s="22">
        <f t="shared" si="377"/>
        <v>0</v>
      </c>
    </row>
    <row r="38" spans="3:143" x14ac:dyDescent="0.2">
      <c r="C38" s="19" t="s">
        <v>14</v>
      </c>
      <c r="E38" s="20"/>
      <c r="F38" s="20"/>
      <c r="G38" s="20"/>
      <c r="H38" s="20"/>
      <c r="I38" s="20"/>
      <c r="J38" s="20"/>
      <c r="K38" s="20"/>
      <c r="L38" s="20"/>
      <c r="M38" s="20"/>
      <c r="N38" s="20"/>
      <c r="O38" s="20"/>
      <c r="P38" s="20"/>
      <c r="Q38" s="22">
        <f t="shared" si="368"/>
        <v>0</v>
      </c>
      <c r="S38" s="20"/>
      <c r="T38" s="20"/>
      <c r="U38" s="20"/>
      <c r="V38" s="20"/>
      <c r="W38" s="20"/>
      <c r="X38" s="20"/>
      <c r="Y38" s="20"/>
      <c r="Z38" s="20"/>
      <c r="AA38" s="20"/>
      <c r="AB38" s="20"/>
      <c r="AC38" s="20"/>
      <c r="AD38" s="20"/>
      <c r="AE38" s="22">
        <f t="shared" si="369"/>
        <v>0</v>
      </c>
      <c r="AG38" s="20"/>
      <c r="AH38" s="20"/>
      <c r="AI38" s="20"/>
      <c r="AJ38" s="20"/>
      <c r="AK38" s="20"/>
      <c r="AL38" s="20"/>
      <c r="AM38" s="20"/>
      <c r="AN38" s="20"/>
      <c r="AO38" s="20"/>
      <c r="AP38" s="20"/>
      <c r="AQ38" s="20"/>
      <c r="AR38" s="20"/>
      <c r="AS38" s="22">
        <f t="shared" si="370"/>
        <v>0</v>
      </c>
      <c r="AU38" s="20"/>
      <c r="AV38" s="20"/>
      <c r="AW38" s="20"/>
      <c r="AX38" s="20"/>
      <c r="AY38" s="20"/>
      <c r="AZ38" s="20"/>
      <c r="BA38" s="20"/>
      <c r="BB38" s="20"/>
      <c r="BC38" s="20"/>
      <c r="BD38" s="20"/>
      <c r="BE38" s="20"/>
      <c r="BF38" s="20"/>
      <c r="BG38" s="22">
        <f t="shared" si="371"/>
        <v>0</v>
      </c>
      <c r="BI38" s="20"/>
      <c r="BJ38" s="20"/>
      <c r="BK38" s="20"/>
      <c r="BL38" s="20"/>
      <c r="BM38" s="20"/>
      <c r="BN38" s="20"/>
      <c r="BO38" s="20"/>
      <c r="BP38" s="20"/>
      <c r="BQ38" s="20"/>
      <c r="BR38" s="20"/>
      <c r="BS38" s="20"/>
      <c r="BT38" s="20"/>
      <c r="BU38" s="22">
        <f t="shared" si="372"/>
        <v>0</v>
      </c>
      <c r="BW38" s="20"/>
      <c r="BX38" s="20"/>
      <c r="BY38" s="20"/>
      <c r="BZ38" s="20"/>
      <c r="CA38" s="20"/>
      <c r="CB38" s="20"/>
      <c r="CC38" s="20"/>
      <c r="CD38" s="20"/>
      <c r="CE38" s="20"/>
      <c r="CF38" s="20"/>
      <c r="CG38" s="20"/>
      <c r="CH38" s="20"/>
      <c r="CI38" s="22">
        <f t="shared" si="373"/>
        <v>0</v>
      </c>
      <c r="CK38" s="20"/>
      <c r="CL38" s="20"/>
      <c r="CM38" s="20"/>
      <c r="CN38" s="20"/>
      <c r="CO38" s="20"/>
      <c r="CP38" s="20"/>
      <c r="CQ38" s="20"/>
      <c r="CR38" s="20"/>
      <c r="CS38" s="20"/>
      <c r="CT38" s="20"/>
      <c r="CU38" s="20"/>
      <c r="CV38" s="20"/>
      <c r="CW38" s="22">
        <f t="shared" si="374"/>
        <v>0</v>
      </c>
      <c r="CY38" s="20"/>
      <c r="CZ38" s="20"/>
      <c r="DA38" s="20"/>
      <c r="DB38" s="20"/>
      <c r="DC38" s="20"/>
      <c r="DD38" s="20"/>
      <c r="DE38" s="20"/>
      <c r="DF38" s="20"/>
      <c r="DG38" s="20"/>
      <c r="DH38" s="20"/>
      <c r="DI38" s="20"/>
      <c r="DJ38" s="20"/>
      <c r="DK38" s="22">
        <f t="shared" si="375"/>
        <v>0</v>
      </c>
      <c r="DM38" s="20"/>
      <c r="DN38" s="20"/>
      <c r="DO38" s="20"/>
      <c r="DP38" s="20"/>
      <c r="DQ38" s="20"/>
      <c r="DR38" s="20"/>
      <c r="DS38" s="20"/>
      <c r="DT38" s="20"/>
      <c r="DU38" s="20"/>
      <c r="DV38" s="20"/>
      <c r="DW38" s="20"/>
      <c r="DX38" s="20"/>
      <c r="DY38" s="22">
        <f t="shared" si="376"/>
        <v>0</v>
      </c>
      <c r="EA38" s="20"/>
      <c r="EB38" s="20"/>
      <c r="EC38" s="20"/>
      <c r="ED38" s="20"/>
      <c r="EE38" s="20"/>
      <c r="EF38" s="20"/>
      <c r="EG38" s="20"/>
      <c r="EH38" s="20"/>
      <c r="EI38" s="20"/>
      <c r="EJ38" s="20"/>
      <c r="EK38" s="20"/>
      <c r="EL38" s="20"/>
      <c r="EM38" s="22">
        <f t="shared" si="377"/>
        <v>0</v>
      </c>
    </row>
    <row r="39" spans="3:143" x14ac:dyDescent="0.2">
      <c r="C39" s="19" t="s">
        <v>14</v>
      </c>
      <c r="E39" s="20"/>
      <c r="F39" s="20"/>
      <c r="G39" s="20"/>
      <c r="H39" s="20"/>
      <c r="I39" s="20"/>
      <c r="J39" s="20"/>
      <c r="K39" s="20"/>
      <c r="L39" s="20"/>
      <c r="M39" s="20"/>
      <c r="N39" s="20"/>
      <c r="O39" s="20"/>
      <c r="P39" s="20"/>
      <c r="Q39" s="22">
        <f t="shared" si="368"/>
        <v>0</v>
      </c>
      <c r="S39" s="20"/>
      <c r="T39" s="20"/>
      <c r="U39" s="20"/>
      <c r="V39" s="20"/>
      <c r="W39" s="20"/>
      <c r="X39" s="20"/>
      <c r="Y39" s="20"/>
      <c r="Z39" s="20"/>
      <c r="AA39" s="20"/>
      <c r="AB39" s="20"/>
      <c r="AC39" s="20"/>
      <c r="AD39" s="20"/>
      <c r="AE39" s="22">
        <f t="shared" si="369"/>
        <v>0</v>
      </c>
      <c r="AG39" s="20"/>
      <c r="AH39" s="20"/>
      <c r="AI39" s="20"/>
      <c r="AJ39" s="20"/>
      <c r="AK39" s="20"/>
      <c r="AL39" s="20"/>
      <c r="AM39" s="20"/>
      <c r="AN39" s="20"/>
      <c r="AO39" s="20"/>
      <c r="AP39" s="20"/>
      <c r="AQ39" s="20"/>
      <c r="AR39" s="20"/>
      <c r="AS39" s="22">
        <f t="shared" si="370"/>
        <v>0</v>
      </c>
      <c r="AU39" s="20"/>
      <c r="AV39" s="20"/>
      <c r="AW39" s="20"/>
      <c r="AX39" s="20"/>
      <c r="AY39" s="20"/>
      <c r="AZ39" s="20"/>
      <c r="BA39" s="20"/>
      <c r="BB39" s="20"/>
      <c r="BC39" s="20"/>
      <c r="BD39" s="20"/>
      <c r="BE39" s="20"/>
      <c r="BF39" s="20"/>
      <c r="BG39" s="22">
        <f t="shared" si="371"/>
        <v>0</v>
      </c>
      <c r="BI39" s="20"/>
      <c r="BJ39" s="20"/>
      <c r="BK39" s="20"/>
      <c r="BL39" s="20"/>
      <c r="BM39" s="20"/>
      <c r="BN39" s="20"/>
      <c r="BO39" s="20"/>
      <c r="BP39" s="20"/>
      <c r="BQ39" s="20"/>
      <c r="BR39" s="20"/>
      <c r="BS39" s="20"/>
      <c r="BT39" s="20"/>
      <c r="BU39" s="22">
        <f t="shared" si="372"/>
        <v>0</v>
      </c>
      <c r="BW39" s="20"/>
      <c r="BX39" s="20"/>
      <c r="BY39" s="20"/>
      <c r="BZ39" s="20"/>
      <c r="CA39" s="20"/>
      <c r="CB39" s="20"/>
      <c r="CC39" s="20"/>
      <c r="CD39" s="20"/>
      <c r="CE39" s="20"/>
      <c r="CF39" s="20"/>
      <c r="CG39" s="20"/>
      <c r="CH39" s="20"/>
      <c r="CI39" s="22">
        <f t="shared" si="373"/>
        <v>0</v>
      </c>
      <c r="CK39" s="20"/>
      <c r="CL39" s="20"/>
      <c r="CM39" s="20"/>
      <c r="CN39" s="20"/>
      <c r="CO39" s="20"/>
      <c r="CP39" s="20"/>
      <c r="CQ39" s="20"/>
      <c r="CR39" s="20"/>
      <c r="CS39" s="20"/>
      <c r="CT39" s="20"/>
      <c r="CU39" s="20"/>
      <c r="CV39" s="20"/>
      <c r="CW39" s="22">
        <f t="shared" si="374"/>
        <v>0</v>
      </c>
      <c r="CY39" s="20"/>
      <c r="CZ39" s="20"/>
      <c r="DA39" s="20"/>
      <c r="DB39" s="20"/>
      <c r="DC39" s="20"/>
      <c r="DD39" s="20"/>
      <c r="DE39" s="20"/>
      <c r="DF39" s="20"/>
      <c r="DG39" s="20"/>
      <c r="DH39" s="20"/>
      <c r="DI39" s="20"/>
      <c r="DJ39" s="20"/>
      <c r="DK39" s="22">
        <f t="shared" si="375"/>
        <v>0</v>
      </c>
      <c r="DM39" s="20"/>
      <c r="DN39" s="20"/>
      <c r="DO39" s="20"/>
      <c r="DP39" s="20"/>
      <c r="DQ39" s="20"/>
      <c r="DR39" s="20"/>
      <c r="DS39" s="20"/>
      <c r="DT39" s="20"/>
      <c r="DU39" s="20"/>
      <c r="DV39" s="20"/>
      <c r="DW39" s="20"/>
      <c r="DX39" s="20"/>
      <c r="DY39" s="22">
        <f t="shared" si="376"/>
        <v>0</v>
      </c>
      <c r="EA39" s="20"/>
      <c r="EB39" s="20"/>
      <c r="EC39" s="20"/>
      <c r="ED39" s="20"/>
      <c r="EE39" s="20"/>
      <c r="EF39" s="20"/>
      <c r="EG39" s="20"/>
      <c r="EH39" s="20"/>
      <c r="EI39" s="20"/>
      <c r="EJ39" s="20"/>
      <c r="EK39" s="20"/>
      <c r="EL39" s="20"/>
      <c r="EM39" s="22">
        <f t="shared" si="377"/>
        <v>0</v>
      </c>
    </row>
    <row r="40" spans="3:143" x14ac:dyDescent="0.2">
      <c r="C40" s="19" t="s">
        <v>14</v>
      </c>
      <c r="E40" s="20"/>
      <c r="F40" s="20"/>
      <c r="G40" s="20"/>
      <c r="H40" s="20"/>
      <c r="I40" s="20"/>
      <c r="J40" s="20"/>
      <c r="K40" s="20"/>
      <c r="L40" s="20"/>
      <c r="M40" s="20"/>
      <c r="N40" s="20"/>
      <c r="O40" s="20"/>
      <c r="P40" s="20"/>
      <c r="Q40" s="22">
        <f t="shared" si="368"/>
        <v>0</v>
      </c>
      <c r="S40" s="20"/>
      <c r="T40" s="20"/>
      <c r="U40" s="20"/>
      <c r="V40" s="20"/>
      <c r="W40" s="20"/>
      <c r="X40" s="20"/>
      <c r="Y40" s="20"/>
      <c r="Z40" s="20"/>
      <c r="AA40" s="20"/>
      <c r="AB40" s="20"/>
      <c r="AC40" s="20"/>
      <c r="AD40" s="20"/>
      <c r="AE40" s="22">
        <f t="shared" si="369"/>
        <v>0</v>
      </c>
      <c r="AG40" s="20"/>
      <c r="AH40" s="20"/>
      <c r="AI40" s="20"/>
      <c r="AJ40" s="20"/>
      <c r="AK40" s="20"/>
      <c r="AL40" s="20"/>
      <c r="AM40" s="20"/>
      <c r="AN40" s="20"/>
      <c r="AO40" s="20"/>
      <c r="AP40" s="20"/>
      <c r="AQ40" s="20"/>
      <c r="AR40" s="20"/>
      <c r="AS40" s="22">
        <f t="shared" si="370"/>
        <v>0</v>
      </c>
      <c r="AU40" s="20"/>
      <c r="AV40" s="20"/>
      <c r="AW40" s="20"/>
      <c r="AX40" s="20"/>
      <c r="AY40" s="20"/>
      <c r="AZ40" s="20"/>
      <c r="BA40" s="20"/>
      <c r="BB40" s="20"/>
      <c r="BC40" s="20"/>
      <c r="BD40" s="20"/>
      <c r="BE40" s="20"/>
      <c r="BF40" s="20"/>
      <c r="BG40" s="22">
        <f t="shared" si="371"/>
        <v>0</v>
      </c>
      <c r="BI40" s="20"/>
      <c r="BJ40" s="20"/>
      <c r="BK40" s="20"/>
      <c r="BL40" s="20"/>
      <c r="BM40" s="20"/>
      <c r="BN40" s="20"/>
      <c r="BO40" s="20"/>
      <c r="BP40" s="20"/>
      <c r="BQ40" s="20"/>
      <c r="BR40" s="20"/>
      <c r="BS40" s="20"/>
      <c r="BT40" s="20"/>
      <c r="BU40" s="22">
        <f t="shared" si="372"/>
        <v>0</v>
      </c>
      <c r="BW40" s="20"/>
      <c r="BX40" s="20"/>
      <c r="BY40" s="20"/>
      <c r="BZ40" s="20"/>
      <c r="CA40" s="20"/>
      <c r="CB40" s="20"/>
      <c r="CC40" s="20"/>
      <c r="CD40" s="20"/>
      <c r="CE40" s="20"/>
      <c r="CF40" s="20"/>
      <c r="CG40" s="20"/>
      <c r="CH40" s="20"/>
      <c r="CI40" s="22">
        <f t="shared" si="373"/>
        <v>0</v>
      </c>
      <c r="CK40" s="20"/>
      <c r="CL40" s="20"/>
      <c r="CM40" s="20"/>
      <c r="CN40" s="20"/>
      <c r="CO40" s="20"/>
      <c r="CP40" s="20"/>
      <c r="CQ40" s="20"/>
      <c r="CR40" s="20"/>
      <c r="CS40" s="20"/>
      <c r="CT40" s="20"/>
      <c r="CU40" s="20"/>
      <c r="CV40" s="20"/>
      <c r="CW40" s="22">
        <f t="shared" si="374"/>
        <v>0</v>
      </c>
      <c r="CY40" s="20"/>
      <c r="CZ40" s="20"/>
      <c r="DA40" s="20"/>
      <c r="DB40" s="20"/>
      <c r="DC40" s="20"/>
      <c r="DD40" s="20"/>
      <c r="DE40" s="20"/>
      <c r="DF40" s="20"/>
      <c r="DG40" s="20"/>
      <c r="DH40" s="20"/>
      <c r="DI40" s="20"/>
      <c r="DJ40" s="20"/>
      <c r="DK40" s="22">
        <f t="shared" si="375"/>
        <v>0</v>
      </c>
      <c r="DM40" s="20"/>
      <c r="DN40" s="20"/>
      <c r="DO40" s="20"/>
      <c r="DP40" s="20"/>
      <c r="DQ40" s="20"/>
      <c r="DR40" s="20"/>
      <c r="DS40" s="20"/>
      <c r="DT40" s="20"/>
      <c r="DU40" s="20"/>
      <c r="DV40" s="20"/>
      <c r="DW40" s="20"/>
      <c r="DX40" s="20"/>
      <c r="DY40" s="22">
        <f t="shared" si="376"/>
        <v>0</v>
      </c>
      <c r="EA40" s="20"/>
      <c r="EB40" s="20"/>
      <c r="EC40" s="20"/>
      <c r="ED40" s="20"/>
      <c r="EE40" s="20"/>
      <c r="EF40" s="20"/>
      <c r="EG40" s="20"/>
      <c r="EH40" s="20"/>
      <c r="EI40" s="20"/>
      <c r="EJ40" s="20"/>
      <c r="EK40" s="20"/>
      <c r="EL40" s="20"/>
      <c r="EM40" s="22">
        <f t="shared" si="377"/>
        <v>0</v>
      </c>
    </row>
    <row r="41" spans="3:143" x14ac:dyDescent="0.2">
      <c r="C41" s="19" t="s">
        <v>14</v>
      </c>
      <c r="E41" s="20"/>
      <c r="F41" s="20"/>
      <c r="G41" s="20"/>
      <c r="H41" s="20"/>
      <c r="I41" s="20"/>
      <c r="J41" s="20"/>
      <c r="K41" s="20"/>
      <c r="L41" s="20"/>
      <c r="M41" s="20"/>
      <c r="N41" s="20"/>
      <c r="O41" s="20"/>
      <c r="P41" s="20"/>
      <c r="Q41" s="22">
        <f t="shared" si="368"/>
        <v>0</v>
      </c>
      <c r="S41" s="20"/>
      <c r="T41" s="20"/>
      <c r="U41" s="20"/>
      <c r="V41" s="20"/>
      <c r="W41" s="20"/>
      <c r="X41" s="20"/>
      <c r="Y41" s="20"/>
      <c r="Z41" s="20"/>
      <c r="AA41" s="20"/>
      <c r="AB41" s="20"/>
      <c r="AC41" s="20"/>
      <c r="AD41" s="20"/>
      <c r="AE41" s="22">
        <f t="shared" si="369"/>
        <v>0</v>
      </c>
      <c r="AG41" s="20"/>
      <c r="AH41" s="20"/>
      <c r="AI41" s="20"/>
      <c r="AJ41" s="20"/>
      <c r="AK41" s="20"/>
      <c r="AL41" s="20"/>
      <c r="AM41" s="20"/>
      <c r="AN41" s="20"/>
      <c r="AO41" s="20"/>
      <c r="AP41" s="20"/>
      <c r="AQ41" s="20"/>
      <c r="AR41" s="20"/>
      <c r="AS41" s="22">
        <f t="shared" si="370"/>
        <v>0</v>
      </c>
      <c r="AU41" s="20"/>
      <c r="AV41" s="20"/>
      <c r="AW41" s="20"/>
      <c r="AX41" s="20"/>
      <c r="AY41" s="20"/>
      <c r="AZ41" s="20"/>
      <c r="BA41" s="20"/>
      <c r="BB41" s="20"/>
      <c r="BC41" s="20"/>
      <c r="BD41" s="20"/>
      <c r="BE41" s="20"/>
      <c r="BF41" s="20"/>
      <c r="BG41" s="22">
        <f t="shared" si="371"/>
        <v>0</v>
      </c>
      <c r="BI41" s="20"/>
      <c r="BJ41" s="20"/>
      <c r="BK41" s="20"/>
      <c r="BL41" s="20"/>
      <c r="BM41" s="20"/>
      <c r="BN41" s="20"/>
      <c r="BO41" s="20"/>
      <c r="BP41" s="20"/>
      <c r="BQ41" s="20"/>
      <c r="BR41" s="20"/>
      <c r="BS41" s="20"/>
      <c r="BT41" s="20"/>
      <c r="BU41" s="22">
        <f t="shared" si="372"/>
        <v>0</v>
      </c>
      <c r="BW41" s="20"/>
      <c r="BX41" s="20"/>
      <c r="BY41" s="20"/>
      <c r="BZ41" s="20"/>
      <c r="CA41" s="20"/>
      <c r="CB41" s="20"/>
      <c r="CC41" s="20"/>
      <c r="CD41" s="20"/>
      <c r="CE41" s="20"/>
      <c r="CF41" s="20"/>
      <c r="CG41" s="20"/>
      <c r="CH41" s="20"/>
      <c r="CI41" s="22">
        <f t="shared" si="373"/>
        <v>0</v>
      </c>
      <c r="CK41" s="20"/>
      <c r="CL41" s="20"/>
      <c r="CM41" s="20"/>
      <c r="CN41" s="20"/>
      <c r="CO41" s="20"/>
      <c r="CP41" s="20"/>
      <c r="CQ41" s="20"/>
      <c r="CR41" s="20"/>
      <c r="CS41" s="20"/>
      <c r="CT41" s="20"/>
      <c r="CU41" s="20"/>
      <c r="CV41" s="20"/>
      <c r="CW41" s="22">
        <f t="shared" si="374"/>
        <v>0</v>
      </c>
      <c r="CY41" s="20"/>
      <c r="CZ41" s="20"/>
      <c r="DA41" s="20"/>
      <c r="DB41" s="20"/>
      <c r="DC41" s="20"/>
      <c r="DD41" s="20"/>
      <c r="DE41" s="20"/>
      <c r="DF41" s="20"/>
      <c r="DG41" s="20"/>
      <c r="DH41" s="20"/>
      <c r="DI41" s="20"/>
      <c r="DJ41" s="20"/>
      <c r="DK41" s="22">
        <f t="shared" si="375"/>
        <v>0</v>
      </c>
      <c r="DM41" s="20"/>
      <c r="DN41" s="20"/>
      <c r="DO41" s="20"/>
      <c r="DP41" s="20"/>
      <c r="DQ41" s="20"/>
      <c r="DR41" s="20"/>
      <c r="DS41" s="20"/>
      <c r="DT41" s="20"/>
      <c r="DU41" s="20"/>
      <c r="DV41" s="20"/>
      <c r="DW41" s="20"/>
      <c r="DX41" s="20"/>
      <c r="DY41" s="22">
        <f t="shared" si="376"/>
        <v>0</v>
      </c>
      <c r="EA41" s="20"/>
      <c r="EB41" s="20"/>
      <c r="EC41" s="20"/>
      <c r="ED41" s="20"/>
      <c r="EE41" s="20"/>
      <c r="EF41" s="20"/>
      <c r="EG41" s="20"/>
      <c r="EH41" s="20"/>
      <c r="EI41" s="20"/>
      <c r="EJ41" s="20"/>
      <c r="EK41" s="20"/>
      <c r="EL41" s="20"/>
      <c r="EM41" s="22">
        <f t="shared" si="377"/>
        <v>0</v>
      </c>
    </row>
    <row r="42" spans="3:143" x14ac:dyDescent="0.2">
      <c r="C42" s="19" t="s">
        <v>14</v>
      </c>
      <c r="E42" s="20"/>
      <c r="F42" s="20"/>
      <c r="G42" s="20"/>
      <c r="H42" s="20"/>
      <c r="I42" s="20"/>
      <c r="J42" s="20"/>
      <c r="K42" s="20"/>
      <c r="L42" s="20"/>
      <c r="M42" s="20"/>
      <c r="N42" s="20"/>
      <c r="O42" s="20"/>
      <c r="P42" s="20"/>
      <c r="Q42" s="22">
        <f t="shared" si="368"/>
        <v>0</v>
      </c>
      <c r="S42" s="20"/>
      <c r="T42" s="20"/>
      <c r="U42" s="20"/>
      <c r="V42" s="20"/>
      <c r="W42" s="20"/>
      <c r="X42" s="20"/>
      <c r="Y42" s="20"/>
      <c r="Z42" s="20"/>
      <c r="AA42" s="20"/>
      <c r="AB42" s="20"/>
      <c r="AC42" s="20"/>
      <c r="AD42" s="20"/>
      <c r="AE42" s="22">
        <f t="shared" si="369"/>
        <v>0</v>
      </c>
      <c r="AG42" s="20"/>
      <c r="AH42" s="20"/>
      <c r="AI42" s="20"/>
      <c r="AJ42" s="20"/>
      <c r="AK42" s="20"/>
      <c r="AL42" s="20"/>
      <c r="AM42" s="20"/>
      <c r="AN42" s="20"/>
      <c r="AO42" s="20"/>
      <c r="AP42" s="20"/>
      <c r="AQ42" s="20"/>
      <c r="AR42" s="20"/>
      <c r="AS42" s="22">
        <f t="shared" si="370"/>
        <v>0</v>
      </c>
      <c r="AU42" s="20"/>
      <c r="AV42" s="20"/>
      <c r="AW42" s="20"/>
      <c r="AX42" s="20"/>
      <c r="AY42" s="20"/>
      <c r="AZ42" s="20"/>
      <c r="BA42" s="20"/>
      <c r="BB42" s="20"/>
      <c r="BC42" s="20"/>
      <c r="BD42" s="20"/>
      <c r="BE42" s="20"/>
      <c r="BF42" s="20"/>
      <c r="BG42" s="22">
        <f t="shared" si="371"/>
        <v>0</v>
      </c>
      <c r="BI42" s="20"/>
      <c r="BJ42" s="20"/>
      <c r="BK42" s="20"/>
      <c r="BL42" s="20"/>
      <c r="BM42" s="20"/>
      <c r="BN42" s="20"/>
      <c r="BO42" s="20"/>
      <c r="BP42" s="20"/>
      <c r="BQ42" s="20"/>
      <c r="BR42" s="20"/>
      <c r="BS42" s="20"/>
      <c r="BT42" s="20"/>
      <c r="BU42" s="22">
        <f t="shared" si="372"/>
        <v>0</v>
      </c>
      <c r="BW42" s="20"/>
      <c r="BX42" s="20"/>
      <c r="BY42" s="20"/>
      <c r="BZ42" s="20"/>
      <c r="CA42" s="20"/>
      <c r="CB42" s="20"/>
      <c r="CC42" s="20"/>
      <c r="CD42" s="20"/>
      <c r="CE42" s="20"/>
      <c r="CF42" s="20"/>
      <c r="CG42" s="20"/>
      <c r="CH42" s="20"/>
      <c r="CI42" s="22">
        <f t="shared" si="373"/>
        <v>0</v>
      </c>
      <c r="CK42" s="20"/>
      <c r="CL42" s="20"/>
      <c r="CM42" s="20"/>
      <c r="CN42" s="20"/>
      <c r="CO42" s="20"/>
      <c r="CP42" s="20"/>
      <c r="CQ42" s="20"/>
      <c r="CR42" s="20"/>
      <c r="CS42" s="20"/>
      <c r="CT42" s="20"/>
      <c r="CU42" s="20"/>
      <c r="CV42" s="20"/>
      <c r="CW42" s="22">
        <f t="shared" si="374"/>
        <v>0</v>
      </c>
      <c r="CY42" s="20"/>
      <c r="CZ42" s="20"/>
      <c r="DA42" s="20"/>
      <c r="DB42" s="20"/>
      <c r="DC42" s="20"/>
      <c r="DD42" s="20"/>
      <c r="DE42" s="20"/>
      <c r="DF42" s="20"/>
      <c r="DG42" s="20"/>
      <c r="DH42" s="20"/>
      <c r="DI42" s="20"/>
      <c r="DJ42" s="20"/>
      <c r="DK42" s="22">
        <f t="shared" si="375"/>
        <v>0</v>
      </c>
      <c r="DM42" s="20"/>
      <c r="DN42" s="20"/>
      <c r="DO42" s="20"/>
      <c r="DP42" s="20"/>
      <c r="DQ42" s="20"/>
      <c r="DR42" s="20"/>
      <c r="DS42" s="20"/>
      <c r="DT42" s="20"/>
      <c r="DU42" s="20"/>
      <c r="DV42" s="20"/>
      <c r="DW42" s="20"/>
      <c r="DX42" s="20"/>
      <c r="DY42" s="22">
        <f t="shared" si="376"/>
        <v>0</v>
      </c>
      <c r="EA42" s="20"/>
      <c r="EB42" s="20"/>
      <c r="EC42" s="20"/>
      <c r="ED42" s="20"/>
      <c r="EE42" s="20"/>
      <c r="EF42" s="20"/>
      <c r="EG42" s="20"/>
      <c r="EH42" s="20"/>
      <c r="EI42" s="20"/>
      <c r="EJ42" s="20"/>
      <c r="EK42" s="20"/>
      <c r="EL42" s="20"/>
      <c r="EM42" s="22">
        <f t="shared" si="377"/>
        <v>0</v>
      </c>
    </row>
    <row r="43" spans="3:143" x14ac:dyDescent="0.2">
      <c r="C43" s="19" t="s">
        <v>14</v>
      </c>
      <c r="E43" s="20"/>
      <c r="F43" s="20"/>
      <c r="G43" s="20"/>
      <c r="H43" s="20"/>
      <c r="I43" s="20"/>
      <c r="J43" s="20"/>
      <c r="K43" s="20"/>
      <c r="L43" s="20"/>
      <c r="M43" s="20"/>
      <c r="N43" s="20"/>
      <c r="O43" s="20"/>
      <c r="P43" s="20"/>
      <c r="Q43" s="22">
        <f t="shared" si="368"/>
        <v>0</v>
      </c>
      <c r="S43" s="20"/>
      <c r="T43" s="20"/>
      <c r="U43" s="20"/>
      <c r="V43" s="20"/>
      <c r="W43" s="20"/>
      <c r="X43" s="20"/>
      <c r="Y43" s="20"/>
      <c r="Z43" s="20"/>
      <c r="AA43" s="20"/>
      <c r="AB43" s="20"/>
      <c r="AC43" s="20"/>
      <c r="AD43" s="20"/>
      <c r="AE43" s="22">
        <f t="shared" si="369"/>
        <v>0</v>
      </c>
      <c r="AG43" s="20"/>
      <c r="AH43" s="20"/>
      <c r="AI43" s="20"/>
      <c r="AJ43" s="20"/>
      <c r="AK43" s="20"/>
      <c r="AL43" s="20"/>
      <c r="AM43" s="20"/>
      <c r="AN43" s="20"/>
      <c r="AO43" s="20"/>
      <c r="AP43" s="20"/>
      <c r="AQ43" s="20"/>
      <c r="AR43" s="20"/>
      <c r="AS43" s="22">
        <f t="shared" si="370"/>
        <v>0</v>
      </c>
      <c r="AU43" s="20"/>
      <c r="AV43" s="20"/>
      <c r="AW43" s="20"/>
      <c r="AX43" s="20"/>
      <c r="AY43" s="20"/>
      <c r="AZ43" s="20"/>
      <c r="BA43" s="20"/>
      <c r="BB43" s="20"/>
      <c r="BC43" s="20"/>
      <c r="BD43" s="20"/>
      <c r="BE43" s="20"/>
      <c r="BF43" s="20"/>
      <c r="BG43" s="22">
        <f t="shared" si="371"/>
        <v>0</v>
      </c>
      <c r="BI43" s="20"/>
      <c r="BJ43" s="20"/>
      <c r="BK43" s="20"/>
      <c r="BL43" s="20"/>
      <c r="BM43" s="20"/>
      <c r="BN43" s="20"/>
      <c r="BO43" s="20"/>
      <c r="BP43" s="20"/>
      <c r="BQ43" s="20"/>
      <c r="BR43" s="20"/>
      <c r="BS43" s="20"/>
      <c r="BT43" s="20"/>
      <c r="BU43" s="22">
        <f t="shared" si="372"/>
        <v>0</v>
      </c>
      <c r="BW43" s="20"/>
      <c r="BX43" s="20"/>
      <c r="BY43" s="20"/>
      <c r="BZ43" s="20"/>
      <c r="CA43" s="20"/>
      <c r="CB43" s="20"/>
      <c r="CC43" s="20"/>
      <c r="CD43" s="20"/>
      <c r="CE43" s="20"/>
      <c r="CF43" s="20"/>
      <c r="CG43" s="20"/>
      <c r="CH43" s="20"/>
      <c r="CI43" s="22">
        <f t="shared" si="373"/>
        <v>0</v>
      </c>
      <c r="CK43" s="20"/>
      <c r="CL43" s="20"/>
      <c r="CM43" s="20"/>
      <c r="CN43" s="20"/>
      <c r="CO43" s="20"/>
      <c r="CP43" s="20"/>
      <c r="CQ43" s="20"/>
      <c r="CR43" s="20"/>
      <c r="CS43" s="20"/>
      <c r="CT43" s="20"/>
      <c r="CU43" s="20"/>
      <c r="CV43" s="20"/>
      <c r="CW43" s="22">
        <f t="shared" si="374"/>
        <v>0</v>
      </c>
      <c r="CY43" s="20"/>
      <c r="CZ43" s="20"/>
      <c r="DA43" s="20"/>
      <c r="DB43" s="20"/>
      <c r="DC43" s="20"/>
      <c r="DD43" s="20"/>
      <c r="DE43" s="20"/>
      <c r="DF43" s="20"/>
      <c r="DG43" s="20"/>
      <c r="DH43" s="20"/>
      <c r="DI43" s="20"/>
      <c r="DJ43" s="20"/>
      <c r="DK43" s="22">
        <f t="shared" si="375"/>
        <v>0</v>
      </c>
      <c r="DM43" s="20"/>
      <c r="DN43" s="20"/>
      <c r="DO43" s="20"/>
      <c r="DP43" s="20"/>
      <c r="DQ43" s="20"/>
      <c r="DR43" s="20"/>
      <c r="DS43" s="20"/>
      <c r="DT43" s="20"/>
      <c r="DU43" s="20"/>
      <c r="DV43" s="20"/>
      <c r="DW43" s="20"/>
      <c r="DX43" s="20"/>
      <c r="DY43" s="22">
        <f t="shared" si="376"/>
        <v>0</v>
      </c>
      <c r="EA43" s="20"/>
      <c r="EB43" s="20"/>
      <c r="EC43" s="20"/>
      <c r="ED43" s="20"/>
      <c r="EE43" s="20"/>
      <c r="EF43" s="20"/>
      <c r="EG43" s="20"/>
      <c r="EH43" s="20"/>
      <c r="EI43" s="20"/>
      <c r="EJ43" s="20"/>
      <c r="EK43" s="20"/>
      <c r="EL43" s="20"/>
      <c r="EM43" s="22">
        <f t="shared" si="377"/>
        <v>0</v>
      </c>
    </row>
    <row r="44" spans="3:143" x14ac:dyDescent="0.2">
      <c r="C44" s="19" t="s">
        <v>14</v>
      </c>
      <c r="E44" s="20"/>
      <c r="F44" s="20"/>
      <c r="G44" s="20"/>
      <c r="H44" s="20"/>
      <c r="I44" s="20"/>
      <c r="J44" s="20"/>
      <c r="K44" s="20"/>
      <c r="L44" s="20"/>
      <c r="M44" s="20"/>
      <c r="N44" s="20"/>
      <c r="O44" s="20"/>
      <c r="P44" s="20"/>
      <c r="Q44" s="22">
        <f t="shared" si="368"/>
        <v>0</v>
      </c>
      <c r="S44" s="20"/>
      <c r="T44" s="20"/>
      <c r="U44" s="20"/>
      <c r="V44" s="20"/>
      <c r="W44" s="20"/>
      <c r="X44" s="20"/>
      <c r="Y44" s="20"/>
      <c r="Z44" s="20"/>
      <c r="AA44" s="20"/>
      <c r="AB44" s="20"/>
      <c r="AC44" s="20"/>
      <c r="AD44" s="20"/>
      <c r="AE44" s="22">
        <f t="shared" si="369"/>
        <v>0</v>
      </c>
      <c r="AG44" s="20"/>
      <c r="AH44" s="20"/>
      <c r="AI44" s="20"/>
      <c r="AJ44" s="20"/>
      <c r="AK44" s="20"/>
      <c r="AL44" s="20"/>
      <c r="AM44" s="20"/>
      <c r="AN44" s="20"/>
      <c r="AO44" s="20"/>
      <c r="AP44" s="20"/>
      <c r="AQ44" s="20"/>
      <c r="AR44" s="20"/>
      <c r="AS44" s="22">
        <f t="shared" si="370"/>
        <v>0</v>
      </c>
      <c r="AU44" s="20"/>
      <c r="AV44" s="20"/>
      <c r="AW44" s="20"/>
      <c r="AX44" s="20"/>
      <c r="AY44" s="20"/>
      <c r="AZ44" s="20"/>
      <c r="BA44" s="20"/>
      <c r="BB44" s="20"/>
      <c r="BC44" s="20"/>
      <c r="BD44" s="20"/>
      <c r="BE44" s="20"/>
      <c r="BF44" s="20"/>
      <c r="BG44" s="22">
        <f t="shared" si="371"/>
        <v>0</v>
      </c>
      <c r="BI44" s="20"/>
      <c r="BJ44" s="20"/>
      <c r="BK44" s="20"/>
      <c r="BL44" s="20"/>
      <c r="BM44" s="20"/>
      <c r="BN44" s="20"/>
      <c r="BO44" s="20"/>
      <c r="BP44" s="20"/>
      <c r="BQ44" s="20"/>
      <c r="BR44" s="20"/>
      <c r="BS44" s="20"/>
      <c r="BT44" s="20"/>
      <c r="BU44" s="22">
        <f t="shared" si="372"/>
        <v>0</v>
      </c>
      <c r="BW44" s="20"/>
      <c r="BX44" s="20"/>
      <c r="BY44" s="20"/>
      <c r="BZ44" s="20"/>
      <c r="CA44" s="20"/>
      <c r="CB44" s="20"/>
      <c r="CC44" s="20"/>
      <c r="CD44" s="20"/>
      <c r="CE44" s="20"/>
      <c r="CF44" s="20"/>
      <c r="CG44" s="20"/>
      <c r="CH44" s="20"/>
      <c r="CI44" s="22">
        <f t="shared" si="373"/>
        <v>0</v>
      </c>
      <c r="CK44" s="20"/>
      <c r="CL44" s="20"/>
      <c r="CM44" s="20"/>
      <c r="CN44" s="20"/>
      <c r="CO44" s="20"/>
      <c r="CP44" s="20"/>
      <c r="CQ44" s="20"/>
      <c r="CR44" s="20"/>
      <c r="CS44" s="20"/>
      <c r="CT44" s="20"/>
      <c r="CU44" s="20"/>
      <c r="CV44" s="20"/>
      <c r="CW44" s="22">
        <f t="shared" si="374"/>
        <v>0</v>
      </c>
      <c r="CY44" s="20"/>
      <c r="CZ44" s="20"/>
      <c r="DA44" s="20"/>
      <c r="DB44" s="20"/>
      <c r="DC44" s="20"/>
      <c r="DD44" s="20"/>
      <c r="DE44" s="20"/>
      <c r="DF44" s="20"/>
      <c r="DG44" s="20"/>
      <c r="DH44" s="20"/>
      <c r="DI44" s="20"/>
      <c r="DJ44" s="20"/>
      <c r="DK44" s="22">
        <f t="shared" si="375"/>
        <v>0</v>
      </c>
      <c r="DM44" s="20"/>
      <c r="DN44" s="20"/>
      <c r="DO44" s="20"/>
      <c r="DP44" s="20"/>
      <c r="DQ44" s="20"/>
      <c r="DR44" s="20"/>
      <c r="DS44" s="20"/>
      <c r="DT44" s="20"/>
      <c r="DU44" s="20"/>
      <c r="DV44" s="20"/>
      <c r="DW44" s="20"/>
      <c r="DX44" s="20"/>
      <c r="DY44" s="22">
        <f t="shared" si="376"/>
        <v>0</v>
      </c>
      <c r="EA44" s="20"/>
      <c r="EB44" s="20"/>
      <c r="EC44" s="20"/>
      <c r="ED44" s="20"/>
      <c r="EE44" s="20"/>
      <c r="EF44" s="20"/>
      <c r="EG44" s="20"/>
      <c r="EH44" s="20"/>
      <c r="EI44" s="20"/>
      <c r="EJ44" s="20"/>
      <c r="EK44" s="20"/>
      <c r="EL44" s="20"/>
      <c r="EM44" s="22">
        <f t="shared" si="377"/>
        <v>0</v>
      </c>
    </row>
    <row r="45" spans="3:143" x14ac:dyDescent="0.2">
      <c r="C45" s="19" t="s">
        <v>14</v>
      </c>
      <c r="E45" s="20"/>
      <c r="F45" s="20"/>
      <c r="G45" s="20"/>
      <c r="H45" s="20"/>
      <c r="I45" s="20"/>
      <c r="J45" s="20"/>
      <c r="K45" s="20"/>
      <c r="L45" s="20"/>
      <c r="M45" s="20"/>
      <c r="N45" s="20"/>
      <c r="O45" s="20"/>
      <c r="P45" s="20"/>
      <c r="Q45" s="22">
        <f t="shared" si="368"/>
        <v>0</v>
      </c>
      <c r="S45" s="20"/>
      <c r="T45" s="20"/>
      <c r="U45" s="20"/>
      <c r="V45" s="20"/>
      <c r="W45" s="20"/>
      <c r="X45" s="20"/>
      <c r="Y45" s="20"/>
      <c r="Z45" s="20"/>
      <c r="AA45" s="20"/>
      <c r="AB45" s="20"/>
      <c r="AC45" s="20"/>
      <c r="AD45" s="20"/>
      <c r="AE45" s="22">
        <f t="shared" si="369"/>
        <v>0</v>
      </c>
      <c r="AG45" s="20"/>
      <c r="AH45" s="20"/>
      <c r="AI45" s="20"/>
      <c r="AJ45" s="20"/>
      <c r="AK45" s="20"/>
      <c r="AL45" s="20"/>
      <c r="AM45" s="20"/>
      <c r="AN45" s="20"/>
      <c r="AO45" s="20"/>
      <c r="AP45" s="20"/>
      <c r="AQ45" s="20"/>
      <c r="AR45" s="20"/>
      <c r="AS45" s="22">
        <f t="shared" si="370"/>
        <v>0</v>
      </c>
      <c r="AU45" s="20"/>
      <c r="AV45" s="20"/>
      <c r="AW45" s="20"/>
      <c r="AX45" s="20"/>
      <c r="AY45" s="20"/>
      <c r="AZ45" s="20"/>
      <c r="BA45" s="20"/>
      <c r="BB45" s="20"/>
      <c r="BC45" s="20"/>
      <c r="BD45" s="20"/>
      <c r="BE45" s="20"/>
      <c r="BF45" s="20"/>
      <c r="BG45" s="22">
        <f t="shared" si="371"/>
        <v>0</v>
      </c>
      <c r="BI45" s="20"/>
      <c r="BJ45" s="20"/>
      <c r="BK45" s="20"/>
      <c r="BL45" s="20"/>
      <c r="BM45" s="20"/>
      <c r="BN45" s="20"/>
      <c r="BO45" s="20"/>
      <c r="BP45" s="20"/>
      <c r="BQ45" s="20"/>
      <c r="BR45" s="20"/>
      <c r="BS45" s="20"/>
      <c r="BT45" s="20"/>
      <c r="BU45" s="22">
        <f t="shared" si="372"/>
        <v>0</v>
      </c>
      <c r="BW45" s="20"/>
      <c r="BX45" s="20"/>
      <c r="BY45" s="20"/>
      <c r="BZ45" s="20"/>
      <c r="CA45" s="20"/>
      <c r="CB45" s="20"/>
      <c r="CC45" s="20"/>
      <c r="CD45" s="20"/>
      <c r="CE45" s="20"/>
      <c r="CF45" s="20"/>
      <c r="CG45" s="20"/>
      <c r="CH45" s="20"/>
      <c r="CI45" s="22">
        <f t="shared" si="373"/>
        <v>0</v>
      </c>
      <c r="CK45" s="20"/>
      <c r="CL45" s="20"/>
      <c r="CM45" s="20"/>
      <c r="CN45" s="20"/>
      <c r="CO45" s="20"/>
      <c r="CP45" s="20"/>
      <c r="CQ45" s="20"/>
      <c r="CR45" s="20"/>
      <c r="CS45" s="20"/>
      <c r="CT45" s="20"/>
      <c r="CU45" s="20"/>
      <c r="CV45" s="20"/>
      <c r="CW45" s="22">
        <f t="shared" si="374"/>
        <v>0</v>
      </c>
      <c r="CY45" s="20"/>
      <c r="CZ45" s="20"/>
      <c r="DA45" s="20"/>
      <c r="DB45" s="20"/>
      <c r="DC45" s="20"/>
      <c r="DD45" s="20"/>
      <c r="DE45" s="20"/>
      <c r="DF45" s="20"/>
      <c r="DG45" s="20"/>
      <c r="DH45" s="20"/>
      <c r="DI45" s="20"/>
      <c r="DJ45" s="20"/>
      <c r="DK45" s="22">
        <f t="shared" si="375"/>
        <v>0</v>
      </c>
      <c r="DM45" s="20"/>
      <c r="DN45" s="20"/>
      <c r="DO45" s="20"/>
      <c r="DP45" s="20"/>
      <c r="DQ45" s="20"/>
      <c r="DR45" s="20"/>
      <c r="DS45" s="20"/>
      <c r="DT45" s="20"/>
      <c r="DU45" s="20"/>
      <c r="DV45" s="20"/>
      <c r="DW45" s="20"/>
      <c r="DX45" s="20"/>
      <c r="DY45" s="22">
        <f t="shared" si="376"/>
        <v>0</v>
      </c>
      <c r="EA45" s="20"/>
      <c r="EB45" s="20"/>
      <c r="EC45" s="20"/>
      <c r="ED45" s="20"/>
      <c r="EE45" s="20"/>
      <c r="EF45" s="20"/>
      <c r="EG45" s="20"/>
      <c r="EH45" s="20"/>
      <c r="EI45" s="20"/>
      <c r="EJ45" s="20"/>
      <c r="EK45" s="20"/>
      <c r="EL45" s="20"/>
      <c r="EM45" s="22">
        <f t="shared" si="377"/>
        <v>0</v>
      </c>
    </row>
    <row r="46" spans="3:143" x14ac:dyDescent="0.2">
      <c r="C46" s="19" t="s">
        <v>14</v>
      </c>
      <c r="E46" s="20"/>
      <c r="F46" s="20"/>
      <c r="G46" s="20"/>
      <c r="H46" s="20"/>
      <c r="I46" s="20"/>
      <c r="J46" s="20"/>
      <c r="K46" s="20"/>
      <c r="L46" s="20"/>
      <c r="M46" s="20"/>
      <c r="N46" s="20"/>
      <c r="O46" s="20"/>
      <c r="P46" s="20"/>
      <c r="Q46" s="22">
        <f t="shared" si="368"/>
        <v>0</v>
      </c>
      <c r="S46" s="20"/>
      <c r="T46" s="20"/>
      <c r="U46" s="20"/>
      <c r="V46" s="20"/>
      <c r="W46" s="20"/>
      <c r="X46" s="20"/>
      <c r="Y46" s="20"/>
      <c r="Z46" s="20"/>
      <c r="AA46" s="20"/>
      <c r="AB46" s="20"/>
      <c r="AC46" s="20"/>
      <c r="AD46" s="20"/>
      <c r="AE46" s="22">
        <f t="shared" si="369"/>
        <v>0</v>
      </c>
      <c r="AG46" s="20"/>
      <c r="AH46" s="20"/>
      <c r="AI46" s="20"/>
      <c r="AJ46" s="20"/>
      <c r="AK46" s="20"/>
      <c r="AL46" s="20"/>
      <c r="AM46" s="20"/>
      <c r="AN46" s="20"/>
      <c r="AO46" s="20"/>
      <c r="AP46" s="20"/>
      <c r="AQ46" s="20"/>
      <c r="AR46" s="20"/>
      <c r="AS46" s="22">
        <f t="shared" si="370"/>
        <v>0</v>
      </c>
      <c r="AU46" s="20"/>
      <c r="AV46" s="20"/>
      <c r="AW46" s="20"/>
      <c r="AX46" s="20"/>
      <c r="AY46" s="20"/>
      <c r="AZ46" s="20"/>
      <c r="BA46" s="20"/>
      <c r="BB46" s="20"/>
      <c r="BC46" s="20"/>
      <c r="BD46" s="20"/>
      <c r="BE46" s="20"/>
      <c r="BF46" s="20"/>
      <c r="BG46" s="22">
        <f t="shared" si="371"/>
        <v>0</v>
      </c>
      <c r="BI46" s="20"/>
      <c r="BJ46" s="20"/>
      <c r="BK46" s="20"/>
      <c r="BL46" s="20"/>
      <c r="BM46" s="20"/>
      <c r="BN46" s="20"/>
      <c r="BO46" s="20"/>
      <c r="BP46" s="20"/>
      <c r="BQ46" s="20"/>
      <c r="BR46" s="20"/>
      <c r="BS46" s="20"/>
      <c r="BT46" s="20"/>
      <c r="BU46" s="22">
        <f t="shared" si="372"/>
        <v>0</v>
      </c>
      <c r="BW46" s="20"/>
      <c r="BX46" s="20"/>
      <c r="BY46" s="20"/>
      <c r="BZ46" s="20"/>
      <c r="CA46" s="20"/>
      <c r="CB46" s="20"/>
      <c r="CC46" s="20"/>
      <c r="CD46" s="20"/>
      <c r="CE46" s="20"/>
      <c r="CF46" s="20"/>
      <c r="CG46" s="20"/>
      <c r="CH46" s="20"/>
      <c r="CI46" s="22">
        <f t="shared" si="373"/>
        <v>0</v>
      </c>
      <c r="CK46" s="20"/>
      <c r="CL46" s="20"/>
      <c r="CM46" s="20"/>
      <c r="CN46" s="20"/>
      <c r="CO46" s="20"/>
      <c r="CP46" s="20"/>
      <c r="CQ46" s="20"/>
      <c r="CR46" s="20"/>
      <c r="CS46" s="20"/>
      <c r="CT46" s="20"/>
      <c r="CU46" s="20"/>
      <c r="CV46" s="20"/>
      <c r="CW46" s="22">
        <f t="shared" si="374"/>
        <v>0</v>
      </c>
      <c r="CY46" s="20"/>
      <c r="CZ46" s="20"/>
      <c r="DA46" s="20"/>
      <c r="DB46" s="20"/>
      <c r="DC46" s="20"/>
      <c r="DD46" s="20"/>
      <c r="DE46" s="20"/>
      <c r="DF46" s="20"/>
      <c r="DG46" s="20"/>
      <c r="DH46" s="20"/>
      <c r="DI46" s="20"/>
      <c r="DJ46" s="20"/>
      <c r="DK46" s="22">
        <f t="shared" si="375"/>
        <v>0</v>
      </c>
      <c r="DM46" s="20"/>
      <c r="DN46" s="20"/>
      <c r="DO46" s="20"/>
      <c r="DP46" s="20"/>
      <c r="DQ46" s="20"/>
      <c r="DR46" s="20"/>
      <c r="DS46" s="20"/>
      <c r="DT46" s="20"/>
      <c r="DU46" s="20"/>
      <c r="DV46" s="20"/>
      <c r="DW46" s="20"/>
      <c r="DX46" s="20"/>
      <c r="DY46" s="22">
        <f t="shared" si="376"/>
        <v>0</v>
      </c>
      <c r="EA46" s="20"/>
      <c r="EB46" s="20"/>
      <c r="EC46" s="20"/>
      <c r="ED46" s="20"/>
      <c r="EE46" s="20"/>
      <c r="EF46" s="20"/>
      <c r="EG46" s="20"/>
      <c r="EH46" s="20"/>
      <c r="EI46" s="20"/>
      <c r="EJ46" s="20"/>
      <c r="EK46" s="20"/>
      <c r="EL46" s="20"/>
      <c r="EM46" s="22">
        <f t="shared" si="377"/>
        <v>0</v>
      </c>
    </row>
    <row r="47" spans="3:143" x14ac:dyDescent="0.2">
      <c r="C47" s="19" t="s">
        <v>14</v>
      </c>
      <c r="E47" s="20"/>
      <c r="F47" s="20"/>
      <c r="G47" s="20"/>
      <c r="H47" s="20"/>
      <c r="I47" s="20"/>
      <c r="J47" s="20"/>
      <c r="K47" s="20"/>
      <c r="L47" s="20"/>
      <c r="M47" s="20"/>
      <c r="N47" s="20"/>
      <c r="O47" s="20"/>
      <c r="P47" s="20"/>
      <c r="Q47" s="22">
        <f t="shared" si="368"/>
        <v>0</v>
      </c>
      <c r="S47" s="20"/>
      <c r="T47" s="20"/>
      <c r="U47" s="20"/>
      <c r="V47" s="20"/>
      <c r="W47" s="20"/>
      <c r="X47" s="20"/>
      <c r="Y47" s="20"/>
      <c r="Z47" s="20"/>
      <c r="AA47" s="20"/>
      <c r="AB47" s="20"/>
      <c r="AC47" s="20"/>
      <c r="AD47" s="20"/>
      <c r="AE47" s="22">
        <f t="shared" si="369"/>
        <v>0</v>
      </c>
      <c r="AG47" s="20"/>
      <c r="AH47" s="20"/>
      <c r="AI47" s="20"/>
      <c r="AJ47" s="20"/>
      <c r="AK47" s="20"/>
      <c r="AL47" s="20"/>
      <c r="AM47" s="20"/>
      <c r="AN47" s="20"/>
      <c r="AO47" s="20"/>
      <c r="AP47" s="20"/>
      <c r="AQ47" s="20"/>
      <c r="AR47" s="20"/>
      <c r="AS47" s="22">
        <f t="shared" si="370"/>
        <v>0</v>
      </c>
      <c r="AU47" s="20"/>
      <c r="AV47" s="20"/>
      <c r="AW47" s="20"/>
      <c r="AX47" s="20"/>
      <c r="AY47" s="20"/>
      <c r="AZ47" s="20"/>
      <c r="BA47" s="20"/>
      <c r="BB47" s="20"/>
      <c r="BC47" s="20"/>
      <c r="BD47" s="20"/>
      <c r="BE47" s="20"/>
      <c r="BF47" s="20"/>
      <c r="BG47" s="22">
        <f t="shared" si="371"/>
        <v>0</v>
      </c>
      <c r="BI47" s="20"/>
      <c r="BJ47" s="20"/>
      <c r="BK47" s="20"/>
      <c r="BL47" s="20"/>
      <c r="BM47" s="20"/>
      <c r="BN47" s="20"/>
      <c r="BO47" s="20"/>
      <c r="BP47" s="20"/>
      <c r="BQ47" s="20"/>
      <c r="BR47" s="20"/>
      <c r="BS47" s="20"/>
      <c r="BT47" s="20"/>
      <c r="BU47" s="22">
        <f t="shared" si="372"/>
        <v>0</v>
      </c>
      <c r="BW47" s="20"/>
      <c r="BX47" s="20"/>
      <c r="BY47" s="20"/>
      <c r="BZ47" s="20"/>
      <c r="CA47" s="20"/>
      <c r="CB47" s="20"/>
      <c r="CC47" s="20"/>
      <c r="CD47" s="20"/>
      <c r="CE47" s="20"/>
      <c r="CF47" s="20"/>
      <c r="CG47" s="20"/>
      <c r="CH47" s="20"/>
      <c r="CI47" s="22">
        <f t="shared" si="373"/>
        <v>0</v>
      </c>
      <c r="CK47" s="20"/>
      <c r="CL47" s="20"/>
      <c r="CM47" s="20"/>
      <c r="CN47" s="20"/>
      <c r="CO47" s="20"/>
      <c r="CP47" s="20"/>
      <c r="CQ47" s="20"/>
      <c r="CR47" s="20"/>
      <c r="CS47" s="20"/>
      <c r="CT47" s="20"/>
      <c r="CU47" s="20"/>
      <c r="CV47" s="20"/>
      <c r="CW47" s="22">
        <f t="shared" si="374"/>
        <v>0</v>
      </c>
      <c r="CY47" s="20"/>
      <c r="CZ47" s="20"/>
      <c r="DA47" s="20"/>
      <c r="DB47" s="20"/>
      <c r="DC47" s="20"/>
      <c r="DD47" s="20"/>
      <c r="DE47" s="20"/>
      <c r="DF47" s="20"/>
      <c r="DG47" s="20"/>
      <c r="DH47" s="20"/>
      <c r="DI47" s="20"/>
      <c r="DJ47" s="20"/>
      <c r="DK47" s="22">
        <f t="shared" si="375"/>
        <v>0</v>
      </c>
      <c r="DM47" s="20"/>
      <c r="DN47" s="20"/>
      <c r="DO47" s="20"/>
      <c r="DP47" s="20"/>
      <c r="DQ47" s="20"/>
      <c r="DR47" s="20"/>
      <c r="DS47" s="20"/>
      <c r="DT47" s="20"/>
      <c r="DU47" s="20"/>
      <c r="DV47" s="20"/>
      <c r="DW47" s="20"/>
      <c r="DX47" s="20"/>
      <c r="DY47" s="22">
        <f t="shared" si="376"/>
        <v>0</v>
      </c>
      <c r="EA47" s="20"/>
      <c r="EB47" s="20"/>
      <c r="EC47" s="20"/>
      <c r="ED47" s="20"/>
      <c r="EE47" s="20"/>
      <c r="EF47" s="20"/>
      <c r="EG47" s="20"/>
      <c r="EH47" s="20"/>
      <c r="EI47" s="20"/>
      <c r="EJ47" s="20"/>
      <c r="EK47" s="20"/>
      <c r="EL47" s="20"/>
      <c r="EM47" s="22">
        <f t="shared" si="377"/>
        <v>0</v>
      </c>
    </row>
    <row r="48" spans="3:143" x14ac:dyDescent="0.2">
      <c r="C48" s="19" t="s">
        <v>14</v>
      </c>
      <c r="E48" s="20"/>
      <c r="F48" s="20"/>
      <c r="G48" s="20"/>
      <c r="H48" s="20"/>
      <c r="I48" s="20"/>
      <c r="J48" s="20"/>
      <c r="K48" s="20"/>
      <c r="L48" s="20"/>
      <c r="M48" s="20"/>
      <c r="N48" s="20"/>
      <c r="O48" s="20"/>
      <c r="P48" s="20"/>
      <c r="Q48" s="22">
        <f t="shared" si="368"/>
        <v>0</v>
      </c>
      <c r="S48" s="20"/>
      <c r="T48" s="20"/>
      <c r="U48" s="20"/>
      <c r="V48" s="20"/>
      <c r="W48" s="20"/>
      <c r="X48" s="20"/>
      <c r="Y48" s="20"/>
      <c r="Z48" s="20"/>
      <c r="AA48" s="20"/>
      <c r="AB48" s="20"/>
      <c r="AC48" s="20"/>
      <c r="AD48" s="20"/>
      <c r="AE48" s="22">
        <f t="shared" si="369"/>
        <v>0</v>
      </c>
      <c r="AG48" s="20"/>
      <c r="AH48" s="20"/>
      <c r="AI48" s="20"/>
      <c r="AJ48" s="20"/>
      <c r="AK48" s="20"/>
      <c r="AL48" s="20"/>
      <c r="AM48" s="20"/>
      <c r="AN48" s="20"/>
      <c r="AO48" s="20"/>
      <c r="AP48" s="20"/>
      <c r="AQ48" s="20"/>
      <c r="AR48" s="20"/>
      <c r="AS48" s="22">
        <f t="shared" si="370"/>
        <v>0</v>
      </c>
      <c r="AU48" s="20"/>
      <c r="AV48" s="20"/>
      <c r="AW48" s="20"/>
      <c r="AX48" s="20"/>
      <c r="AY48" s="20"/>
      <c r="AZ48" s="20"/>
      <c r="BA48" s="20"/>
      <c r="BB48" s="20"/>
      <c r="BC48" s="20"/>
      <c r="BD48" s="20"/>
      <c r="BE48" s="20"/>
      <c r="BF48" s="20"/>
      <c r="BG48" s="22">
        <f t="shared" si="371"/>
        <v>0</v>
      </c>
      <c r="BI48" s="20"/>
      <c r="BJ48" s="20"/>
      <c r="BK48" s="20"/>
      <c r="BL48" s="20"/>
      <c r="BM48" s="20"/>
      <c r="BN48" s="20"/>
      <c r="BO48" s="20"/>
      <c r="BP48" s="20"/>
      <c r="BQ48" s="20"/>
      <c r="BR48" s="20"/>
      <c r="BS48" s="20"/>
      <c r="BT48" s="20"/>
      <c r="BU48" s="22">
        <f t="shared" si="372"/>
        <v>0</v>
      </c>
      <c r="BW48" s="20"/>
      <c r="BX48" s="20"/>
      <c r="BY48" s="20"/>
      <c r="BZ48" s="20"/>
      <c r="CA48" s="20"/>
      <c r="CB48" s="20"/>
      <c r="CC48" s="20"/>
      <c r="CD48" s="20"/>
      <c r="CE48" s="20"/>
      <c r="CF48" s="20"/>
      <c r="CG48" s="20"/>
      <c r="CH48" s="20"/>
      <c r="CI48" s="22">
        <f t="shared" si="373"/>
        <v>0</v>
      </c>
      <c r="CK48" s="20"/>
      <c r="CL48" s="20"/>
      <c r="CM48" s="20"/>
      <c r="CN48" s="20"/>
      <c r="CO48" s="20"/>
      <c r="CP48" s="20"/>
      <c r="CQ48" s="20"/>
      <c r="CR48" s="20"/>
      <c r="CS48" s="20"/>
      <c r="CT48" s="20"/>
      <c r="CU48" s="20"/>
      <c r="CV48" s="20"/>
      <c r="CW48" s="22">
        <f t="shared" si="374"/>
        <v>0</v>
      </c>
      <c r="CY48" s="20"/>
      <c r="CZ48" s="20"/>
      <c r="DA48" s="20"/>
      <c r="DB48" s="20"/>
      <c r="DC48" s="20"/>
      <c r="DD48" s="20"/>
      <c r="DE48" s="20"/>
      <c r="DF48" s="20"/>
      <c r="DG48" s="20"/>
      <c r="DH48" s="20"/>
      <c r="DI48" s="20"/>
      <c r="DJ48" s="20"/>
      <c r="DK48" s="22">
        <f t="shared" si="375"/>
        <v>0</v>
      </c>
      <c r="DM48" s="20"/>
      <c r="DN48" s="20"/>
      <c r="DO48" s="20"/>
      <c r="DP48" s="20"/>
      <c r="DQ48" s="20"/>
      <c r="DR48" s="20"/>
      <c r="DS48" s="20"/>
      <c r="DT48" s="20"/>
      <c r="DU48" s="20"/>
      <c r="DV48" s="20"/>
      <c r="DW48" s="20"/>
      <c r="DX48" s="20"/>
      <c r="DY48" s="22">
        <f t="shared" si="376"/>
        <v>0</v>
      </c>
      <c r="EA48" s="20"/>
      <c r="EB48" s="20"/>
      <c r="EC48" s="20"/>
      <c r="ED48" s="20"/>
      <c r="EE48" s="20"/>
      <c r="EF48" s="20"/>
      <c r="EG48" s="20"/>
      <c r="EH48" s="20"/>
      <c r="EI48" s="20"/>
      <c r="EJ48" s="20"/>
      <c r="EK48" s="20"/>
      <c r="EL48" s="20"/>
      <c r="EM48" s="22">
        <f t="shared" si="377"/>
        <v>0</v>
      </c>
    </row>
    <row r="49" spans="3:143" x14ac:dyDescent="0.2">
      <c r="C49" s="19" t="s">
        <v>14</v>
      </c>
      <c r="E49" s="20"/>
      <c r="F49" s="20"/>
      <c r="G49" s="20"/>
      <c r="H49" s="20"/>
      <c r="I49" s="20"/>
      <c r="J49" s="20"/>
      <c r="K49" s="20"/>
      <c r="L49" s="20"/>
      <c r="M49" s="20"/>
      <c r="N49" s="20"/>
      <c r="O49" s="20"/>
      <c r="P49" s="20"/>
      <c r="Q49" s="22">
        <f t="shared" si="368"/>
        <v>0</v>
      </c>
      <c r="S49" s="20"/>
      <c r="T49" s="20"/>
      <c r="U49" s="20"/>
      <c r="V49" s="20"/>
      <c r="W49" s="20"/>
      <c r="X49" s="20"/>
      <c r="Y49" s="20"/>
      <c r="Z49" s="20"/>
      <c r="AA49" s="20"/>
      <c r="AB49" s="20"/>
      <c r="AC49" s="20"/>
      <c r="AD49" s="20"/>
      <c r="AE49" s="22">
        <f t="shared" si="369"/>
        <v>0</v>
      </c>
      <c r="AG49" s="20"/>
      <c r="AH49" s="20"/>
      <c r="AI49" s="20"/>
      <c r="AJ49" s="20"/>
      <c r="AK49" s="20"/>
      <c r="AL49" s="20"/>
      <c r="AM49" s="20"/>
      <c r="AN49" s="20"/>
      <c r="AO49" s="20"/>
      <c r="AP49" s="20"/>
      <c r="AQ49" s="20"/>
      <c r="AR49" s="20"/>
      <c r="AS49" s="22">
        <f t="shared" si="370"/>
        <v>0</v>
      </c>
      <c r="AU49" s="20"/>
      <c r="AV49" s="20"/>
      <c r="AW49" s="20"/>
      <c r="AX49" s="20"/>
      <c r="AY49" s="20"/>
      <c r="AZ49" s="20"/>
      <c r="BA49" s="20"/>
      <c r="BB49" s="20"/>
      <c r="BC49" s="20"/>
      <c r="BD49" s="20"/>
      <c r="BE49" s="20"/>
      <c r="BF49" s="20"/>
      <c r="BG49" s="22">
        <f t="shared" si="371"/>
        <v>0</v>
      </c>
      <c r="BI49" s="20"/>
      <c r="BJ49" s="20"/>
      <c r="BK49" s="20"/>
      <c r="BL49" s="20"/>
      <c r="BM49" s="20"/>
      <c r="BN49" s="20"/>
      <c r="BO49" s="20"/>
      <c r="BP49" s="20"/>
      <c r="BQ49" s="20"/>
      <c r="BR49" s="20"/>
      <c r="BS49" s="20"/>
      <c r="BT49" s="20"/>
      <c r="BU49" s="22">
        <f t="shared" si="372"/>
        <v>0</v>
      </c>
      <c r="BW49" s="20"/>
      <c r="BX49" s="20"/>
      <c r="BY49" s="20"/>
      <c r="BZ49" s="20"/>
      <c r="CA49" s="20"/>
      <c r="CB49" s="20"/>
      <c r="CC49" s="20"/>
      <c r="CD49" s="20"/>
      <c r="CE49" s="20"/>
      <c r="CF49" s="20"/>
      <c r="CG49" s="20"/>
      <c r="CH49" s="20"/>
      <c r="CI49" s="22">
        <f t="shared" si="373"/>
        <v>0</v>
      </c>
      <c r="CK49" s="20"/>
      <c r="CL49" s="20"/>
      <c r="CM49" s="20"/>
      <c r="CN49" s="20"/>
      <c r="CO49" s="20"/>
      <c r="CP49" s="20"/>
      <c r="CQ49" s="20"/>
      <c r="CR49" s="20"/>
      <c r="CS49" s="20"/>
      <c r="CT49" s="20"/>
      <c r="CU49" s="20"/>
      <c r="CV49" s="20"/>
      <c r="CW49" s="22">
        <f t="shared" si="374"/>
        <v>0</v>
      </c>
      <c r="CY49" s="20"/>
      <c r="CZ49" s="20"/>
      <c r="DA49" s="20"/>
      <c r="DB49" s="20"/>
      <c r="DC49" s="20"/>
      <c r="DD49" s="20"/>
      <c r="DE49" s="20"/>
      <c r="DF49" s="20"/>
      <c r="DG49" s="20"/>
      <c r="DH49" s="20"/>
      <c r="DI49" s="20"/>
      <c r="DJ49" s="20"/>
      <c r="DK49" s="22">
        <f t="shared" si="375"/>
        <v>0</v>
      </c>
      <c r="DM49" s="20"/>
      <c r="DN49" s="20"/>
      <c r="DO49" s="20"/>
      <c r="DP49" s="20"/>
      <c r="DQ49" s="20"/>
      <c r="DR49" s="20"/>
      <c r="DS49" s="20"/>
      <c r="DT49" s="20"/>
      <c r="DU49" s="20"/>
      <c r="DV49" s="20"/>
      <c r="DW49" s="20"/>
      <c r="DX49" s="20"/>
      <c r="DY49" s="22">
        <f t="shared" si="376"/>
        <v>0</v>
      </c>
      <c r="EA49" s="20"/>
      <c r="EB49" s="20"/>
      <c r="EC49" s="20"/>
      <c r="ED49" s="20"/>
      <c r="EE49" s="20"/>
      <c r="EF49" s="20"/>
      <c r="EG49" s="20"/>
      <c r="EH49" s="20"/>
      <c r="EI49" s="20"/>
      <c r="EJ49" s="20"/>
      <c r="EK49" s="20"/>
      <c r="EL49" s="20"/>
      <c r="EM49" s="22">
        <f t="shared" si="377"/>
        <v>0</v>
      </c>
    </row>
    <row r="50" spans="3:143" x14ac:dyDescent="0.2">
      <c r="C50" s="19" t="s">
        <v>14</v>
      </c>
      <c r="E50" s="20"/>
      <c r="F50" s="20"/>
      <c r="G50" s="20"/>
      <c r="H50" s="20"/>
      <c r="I50" s="20"/>
      <c r="J50" s="20"/>
      <c r="K50" s="20"/>
      <c r="L50" s="20"/>
      <c r="M50" s="20"/>
      <c r="N50" s="20"/>
      <c r="O50" s="20"/>
      <c r="P50" s="20"/>
      <c r="Q50" s="22">
        <f t="shared" si="368"/>
        <v>0</v>
      </c>
      <c r="S50" s="20"/>
      <c r="T50" s="20"/>
      <c r="U50" s="20"/>
      <c r="V50" s="20"/>
      <c r="W50" s="20"/>
      <c r="X50" s="20"/>
      <c r="Y50" s="20"/>
      <c r="Z50" s="20"/>
      <c r="AA50" s="20"/>
      <c r="AB50" s="20"/>
      <c r="AC50" s="20"/>
      <c r="AD50" s="20"/>
      <c r="AE50" s="22">
        <f t="shared" si="369"/>
        <v>0</v>
      </c>
      <c r="AG50" s="20"/>
      <c r="AH50" s="20"/>
      <c r="AI50" s="20"/>
      <c r="AJ50" s="20"/>
      <c r="AK50" s="20"/>
      <c r="AL50" s="20"/>
      <c r="AM50" s="20"/>
      <c r="AN50" s="20"/>
      <c r="AO50" s="20"/>
      <c r="AP50" s="20"/>
      <c r="AQ50" s="20"/>
      <c r="AR50" s="20"/>
      <c r="AS50" s="22">
        <f t="shared" si="370"/>
        <v>0</v>
      </c>
      <c r="AU50" s="20"/>
      <c r="AV50" s="20"/>
      <c r="AW50" s="20"/>
      <c r="AX50" s="20"/>
      <c r="AY50" s="20"/>
      <c r="AZ50" s="20"/>
      <c r="BA50" s="20"/>
      <c r="BB50" s="20"/>
      <c r="BC50" s="20"/>
      <c r="BD50" s="20"/>
      <c r="BE50" s="20"/>
      <c r="BF50" s="20"/>
      <c r="BG50" s="22">
        <f t="shared" si="371"/>
        <v>0</v>
      </c>
      <c r="BI50" s="20"/>
      <c r="BJ50" s="20"/>
      <c r="BK50" s="20"/>
      <c r="BL50" s="20"/>
      <c r="BM50" s="20"/>
      <c r="BN50" s="20"/>
      <c r="BO50" s="20"/>
      <c r="BP50" s="20"/>
      <c r="BQ50" s="20"/>
      <c r="BR50" s="20"/>
      <c r="BS50" s="20"/>
      <c r="BT50" s="20"/>
      <c r="BU50" s="22">
        <f t="shared" si="372"/>
        <v>0</v>
      </c>
      <c r="BW50" s="20"/>
      <c r="BX50" s="20"/>
      <c r="BY50" s="20"/>
      <c r="BZ50" s="20"/>
      <c r="CA50" s="20"/>
      <c r="CB50" s="20"/>
      <c r="CC50" s="20"/>
      <c r="CD50" s="20"/>
      <c r="CE50" s="20"/>
      <c r="CF50" s="20"/>
      <c r="CG50" s="20"/>
      <c r="CH50" s="20"/>
      <c r="CI50" s="22">
        <f t="shared" si="373"/>
        <v>0</v>
      </c>
      <c r="CK50" s="20"/>
      <c r="CL50" s="20"/>
      <c r="CM50" s="20"/>
      <c r="CN50" s="20"/>
      <c r="CO50" s="20"/>
      <c r="CP50" s="20"/>
      <c r="CQ50" s="20"/>
      <c r="CR50" s="20"/>
      <c r="CS50" s="20"/>
      <c r="CT50" s="20"/>
      <c r="CU50" s="20"/>
      <c r="CV50" s="20"/>
      <c r="CW50" s="22">
        <f t="shared" si="374"/>
        <v>0</v>
      </c>
      <c r="CY50" s="20"/>
      <c r="CZ50" s="20"/>
      <c r="DA50" s="20"/>
      <c r="DB50" s="20"/>
      <c r="DC50" s="20"/>
      <c r="DD50" s="20"/>
      <c r="DE50" s="20"/>
      <c r="DF50" s="20"/>
      <c r="DG50" s="20"/>
      <c r="DH50" s="20"/>
      <c r="DI50" s="20"/>
      <c r="DJ50" s="20"/>
      <c r="DK50" s="22">
        <f t="shared" si="375"/>
        <v>0</v>
      </c>
      <c r="DM50" s="20"/>
      <c r="DN50" s="20"/>
      <c r="DO50" s="20"/>
      <c r="DP50" s="20"/>
      <c r="DQ50" s="20"/>
      <c r="DR50" s="20"/>
      <c r="DS50" s="20"/>
      <c r="DT50" s="20"/>
      <c r="DU50" s="20"/>
      <c r="DV50" s="20"/>
      <c r="DW50" s="20"/>
      <c r="DX50" s="20"/>
      <c r="DY50" s="22">
        <f t="shared" si="376"/>
        <v>0</v>
      </c>
      <c r="EA50" s="20"/>
      <c r="EB50" s="20"/>
      <c r="EC50" s="20"/>
      <c r="ED50" s="20"/>
      <c r="EE50" s="20"/>
      <c r="EF50" s="20"/>
      <c r="EG50" s="20"/>
      <c r="EH50" s="20"/>
      <c r="EI50" s="20"/>
      <c r="EJ50" s="20"/>
      <c r="EK50" s="20"/>
      <c r="EL50" s="20"/>
      <c r="EM50" s="22">
        <f t="shared" si="377"/>
        <v>0</v>
      </c>
    </row>
    <row r="51" spans="3:143" x14ac:dyDescent="0.2">
      <c r="C51" s="19" t="s">
        <v>14</v>
      </c>
      <c r="E51" s="20"/>
      <c r="F51" s="20"/>
      <c r="G51" s="20"/>
      <c r="H51" s="20"/>
      <c r="I51" s="20"/>
      <c r="J51" s="20"/>
      <c r="K51" s="20"/>
      <c r="L51" s="20"/>
      <c r="M51" s="20"/>
      <c r="N51" s="20"/>
      <c r="O51" s="20"/>
      <c r="P51" s="20"/>
      <c r="Q51" s="22">
        <f t="shared" si="368"/>
        <v>0</v>
      </c>
      <c r="S51" s="20"/>
      <c r="T51" s="20"/>
      <c r="U51" s="20"/>
      <c r="V51" s="20"/>
      <c r="W51" s="20"/>
      <c r="X51" s="20"/>
      <c r="Y51" s="20"/>
      <c r="Z51" s="20"/>
      <c r="AA51" s="20"/>
      <c r="AB51" s="20"/>
      <c r="AC51" s="20"/>
      <c r="AD51" s="20"/>
      <c r="AE51" s="22">
        <f t="shared" si="369"/>
        <v>0</v>
      </c>
      <c r="AG51" s="20"/>
      <c r="AH51" s="20"/>
      <c r="AI51" s="20"/>
      <c r="AJ51" s="20"/>
      <c r="AK51" s="20"/>
      <c r="AL51" s="20"/>
      <c r="AM51" s="20"/>
      <c r="AN51" s="20"/>
      <c r="AO51" s="20"/>
      <c r="AP51" s="20"/>
      <c r="AQ51" s="20"/>
      <c r="AR51" s="20"/>
      <c r="AS51" s="22">
        <f t="shared" si="370"/>
        <v>0</v>
      </c>
      <c r="AU51" s="20"/>
      <c r="AV51" s="20"/>
      <c r="AW51" s="20"/>
      <c r="AX51" s="20"/>
      <c r="AY51" s="20"/>
      <c r="AZ51" s="20"/>
      <c r="BA51" s="20"/>
      <c r="BB51" s="20"/>
      <c r="BC51" s="20"/>
      <c r="BD51" s="20"/>
      <c r="BE51" s="20"/>
      <c r="BF51" s="20"/>
      <c r="BG51" s="22">
        <f t="shared" si="371"/>
        <v>0</v>
      </c>
      <c r="BI51" s="20"/>
      <c r="BJ51" s="20"/>
      <c r="BK51" s="20"/>
      <c r="BL51" s="20"/>
      <c r="BM51" s="20"/>
      <c r="BN51" s="20"/>
      <c r="BO51" s="20"/>
      <c r="BP51" s="20"/>
      <c r="BQ51" s="20"/>
      <c r="BR51" s="20"/>
      <c r="BS51" s="20"/>
      <c r="BT51" s="20"/>
      <c r="BU51" s="22">
        <f t="shared" si="372"/>
        <v>0</v>
      </c>
      <c r="BW51" s="20"/>
      <c r="BX51" s="20"/>
      <c r="BY51" s="20"/>
      <c r="BZ51" s="20"/>
      <c r="CA51" s="20"/>
      <c r="CB51" s="20"/>
      <c r="CC51" s="20"/>
      <c r="CD51" s="20"/>
      <c r="CE51" s="20"/>
      <c r="CF51" s="20"/>
      <c r="CG51" s="20"/>
      <c r="CH51" s="20"/>
      <c r="CI51" s="22">
        <f t="shared" si="373"/>
        <v>0</v>
      </c>
      <c r="CK51" s="20"/>
      <c r="CL51" s="20"/>
      <c r="CM51" s="20"/>
      <c r="CN51" s="20"/>
      <c r="CO51" s="20"/>
      <c r="CP51" s="20"/>
      <c r="CQ51" s="20"/>
      <c r="CR51" s="20"/>
      <c r="CS51" s="20"/>
      <c r="CT51" s="20"/>
      <c r="CU51" s="20"/>
      <c r="CV51" s="20"/>
      <c r="CW51" s="22">
        <f t="shared" si="374"/>
        <v>0</v>
      </c>
      <c r="CY51" s="20"/>
      <c r="CZ51" s="20"/>
      <c r="DA51" s="20"/>
      <c r="DB51" s="20"/>
      <c r="DC51" s="20"/>
      <c r="DD51" s="20"/>
      <c r="DE51" s="20"/>
      <c r="DF51" s="20"/>
      <c r="DG51" s="20"/>
      <c r="DH51" s="20"/>
      <c r="DI51" s="20"/>
      <c r="DJ51" s="20"/>
      <c r="DK51" s="22">
        <f t="shared" si="375"/>
        <v>0</v>
      </c>
      <c r="DM51" s="20"/>
      <c r="DN51" s="20"/>
      <c r="DO51" s="20"/>
      <c r="DP51" s="20"/>
      <c r="DQ51" s="20"/>
      <c r="DR51" s="20"/>
      <c r="DS51" s="20"/>
      <c r="DT51" s="20"/>
      <c r="DU51" s="20"/>
      <c r="DV51" s="20"/>
      <c r="DW51" s="20"/>
      <c r="DX51" s="20"/>
      <c r="DY51" s="22">
        <f t="shared" si="376"/>
        <v>0</v>
      </c>
      <c r="EA51" s="20"/>
      <c r="EB51" s="20"/>
      <c r="EC51" s="20"/>
      <c r="ED51" s="20"/>
      <c r="EE51" s="20"/>
      <c r="EF51" s="20"/>
      <c r="EG51" s="20"/>
      <c r="EH51" s="20"/>
      <c r="EI51" s="20"/>
      <c r="EJ51" s="20"/>
      <c r="EK51" s="20"/>
      <c r="EL51" s="20"/>
      <c r="EM51" s="22">
        <f t="shared" si="377"/>
        <v>0</v>
      </c>
    </row>
    <row r="52" spans="3:143" x14ac:dyDescent="0.2">
      <c r="C52" s="19" t="s">
        <v>14</v>
      </c>
      <c r="E52" s="20"/>
      <c r="F52" s="20"/>
      <c r="G52" s="20"/>
      <c r="H52" s="20"/>
      <c r="I52" s="20"/>
      <c r="J52" s="20"/>
      <c r="K52" s="20"/>
      <c r="L52" s="20"/>
      <c r="M52" s="20"/>
      <c r="N52" s="20"/>
      <c r="O52" s="20"/>
      <c r="P52" s="20"/>
      <c r="Q52" s="22">
        <f t="shared" si="368"/>
        <v>0</v>
      </c>
      <c r="S52" s="20"/>
      <c r="T52" s="20"/>
      <c r="U52" s="20"/>
      <c r="V52" s="20"/>
      <c r="W52" s="20"/>
      <c r="X52" s="20"/>
      <c r="Y52" s="20"/>
      <c r="Z52" s="20"/>
      <c r="AA52" s="20"/>
      <c r="AB52" s="20"/>
      <c r="AC52" s="20"/>
      <c r="AD52" s="20"/>
      <c r="AE52" s="22">
        <f t="shared" si="369"/>
        <v>0</v>
      </c>
      <c r="AG52" s="20"/>
      <c r="AH52" s="20"/>
      <c r="AI52" s="20"/>
      <c r="AJ52" s="20"/>
      <c r="AK52" s="20"/>
      <c r="AL52" s="20"/>
      <c r="AM52" s="20"/>
      <c r="AN52" s="20"/>
      <c r="AO52" s="20"/>
      <c r="AP52" s="20"/>
      <c r="AQ52" s="20"/>
      <c r="AR52" s="20"/>
      <c r="AS52" s="22">
        <f t="shared" si="370"/>
        <v>0</v>
      </c>
      <c r="AU52" s="20"/>
      <c r="AV52" s="20"/>
      <c r="AW52" s="20"/>
      <c r="AX52" s="20"/>
      <c r="AY52" s="20"/>
      <c r="AZ52" s="20"/>
      <c r="BA52" s="20"/>
      <c r="BB52" s="20"/>
      <c r="BC52" s="20"/>
      <c r="BD52" s="20"/>
      <c r="BE52" s="20"/>
      <c r="BF52" s="20"/>
      <c r="BG52" s="22">
        <f t="shared" si="371"/>
        <v>0</v>
      </c>
      <c r="BI52" s="20"/>
      <c r="BJ52" s="20"/>
      <c r="BK52" s="20"/>
      <c r="BL52" s="20"/>
      <c r="BM52" s="20"/>
      <c r="BN52" s="20"/>
      <c r="BO52" s="20"/>
      <c r="BP52" s="20"/>
      <c r="BQ52" s="20"/>
      <c r="BR52" s="20"/>
      <c r="BS52" s="20"/>
      <c r="BT52" s="20"/>
      <c r="BU52" s="22">
        <f t="shared" si="372"/>
        <v>0</v>
      </c>
      <c r="BW52" s="20"/>
      <c r="BX52" s="20"/>
      <c r="BY52" s="20"/>
      <c r="BZ52" s="20"/>
      <c r="CA52" s="20"/>
      <c r="CB52" s="20"/>
      <c r="CC52" s="20"/>
      <c r="CD52" s="20"/>
      <c r="CE52" s="20"/>
      <c r="CF52" s="20"/>
      <c r="CG52" s="20"/>
      <c r="CH52" s="20"/>
      <c r="CI52" s="22">
        <f t="shared" si="373"/>
        <v>0</v>
      </c>
      <c r="CK52" s="20"/>
      <c r="CL52" s="20"/>
      <c r="CM52" s="20"/>
      <c r="CN52" s="20"/>
      <c r="CO52" s="20"/>
      <c r="CP52" s="20"/>
      <c r="CQ52" s="20"/>
      <c r="CR52" s="20"/>
      <c r="CS52" s="20"/>
      <c r="CT52" s="20"/>
      <c r="CU52" s="20"/>
      <c r="CV52" s="20"/>
      <c r="CW52" s="22">
        <f t="shared" si="374"/>
        <v>0</v>
      </c>
      <c r="CY52" s="20"/>
      <c r="CZ52" s="20"/>
      <c r="DA52" s="20"/>
      <c r="DB52" s="20"/>
      <c r="DC52" s="20"/>
      <c r="DD52" s="20"/>
      <c r="DE52" s="20"/>
      <c r="DF52" s="20"/>
      <c r="DG52" s="20"/>
      <c r="DH52" s="20"/>
      <c r="DI52" s="20"/>
      <c r="DJ52" s="20"/>
      <c r="DK52" s="22">
        <f t="shared" si="375"/>
        <v>0</v>
      </c>
      <c r="DM52" s="20"/>
      <c r="DN52" s="20"/>
      <c r="DO52" s="20"/>
      <c r="DP52" s="20"/>
      <c r="DQ52" s="20"/>
      <c r="DR52" s="20"/>
      <c r="DS52" s="20"/>
      <c r="DT52" s="20"/>
      <c r="DU52" s="20"/>
      <c r="DV52" s="20"/>
      <c r="DW52" s="20"/>
      <c r="DX52" s="20"/>
      <c r="DY52" s="22">
        <f t="shared" si="376"/>
        <v>0</v>
      </c>
      <c r="EA52" s="20"/>
      <c r="EB52" s="20"/>
      <c r="EC52" s="20"/>
      <c r="ED52" s="20"/>
      <c r="EE52" s="20"/>
      <c r="EF52" s="20"/>
      <c r="EG52" s="20"/>
      <c r="EH52" s="20"/>
      <c r="EI52" s="20"/>
      <c r="EJ52" s="20"/>
      <c r="EK52" s="20"/>
      <c r="EL52" s="20"/>
      <c r="EM52" s="22">
        <f t="shared" si="377"/>
        <v>0</v>
      </c>
    </row>
    <row r="53" spans="3:143" x14ac:dyDescent="0.2">
      <c r="C53" s="19" t="s">
        <v>14</v>
      </c>
      <c r="E53" s="20"/>
      <c r="F53" s="20"/>
      <c r="G53" s="20"/>
      <c r="H53" s="20"/>
      <c r="I53" s="20"/>
      <c r="J53" s="20"/>
      <c r="K53" s="20"/>
      <c r="L53" s="20"/>
      <c r="M53" s="20"/>
      <c r="N53" s="20"/>
      <c r="O53" s="20"/>
      <c r="P53" s="20"/>
      <c r="Q53" s="22">
        <f t="shared" si="368"/>
        <v>0</v>
      </c>
      <c r="S53" s="20"/>
      <c r="T53" s="20"/>
      <c r="U53" s="20"/>
      <c r="V53" s="20"/>
      <c r="W53" s="20"/>
      <c r="X53" s="20"/>
      <c r="Y53" s="20"/>
      <c r="Z53" s="20"/>
      <c r="AA53" s="20"/>
      <c r="AB53" s="20"/>
      <c r="AC53" s="20"/>
      <c r="AD53" s="20"/>
      <c r="AE53" s="22">
        <f t="shared" si="369"/>
        <v>0</v>
      </c>
      <c r="AG53" s="20"/>
      <c r="AH53" s="20"/>
      <c r="AI53" s="20"/>
      <c r="AJ53" s="20"/>
      <c r="AK53" s="20"/>
      <c r="AL53" s="20"/>
      <c r="AM53" s="20"/>
      <c r="AN53" s="20"/>
      <c r="AO53" s="20"/>
      <c r="AP53" s="20"/>
      <c r="AQ53" s="20"/>
      <c r="AR53" s="20"/>
      <c r="AS53" s="22">
        <f t="shared" si="370"/>
        <v>0</v>
      </c>
      <c r="AU53" s="20"/>
      <c r="AV53" s="20"/>
      <c r="AW53" s="20"/>
      <c r="AX53" s="20"/>
      <c r="AY53" s="20"/>
      <c r="AZ53" s="20"/>
      <c r="BA53" s="20"/>
      <c r="BB53" s="20"/>
      <c r="BC53" s="20"/>
      <c r="BD53" s="20"/>
      <c r="BE53" s="20"/>
      <c r="BF53" s="20"/>
      <c r="BG53" s="22">
        <f t="shared" si="371"/>
        <v>0</v>
      </c>
      <c r="BI53" s="20"/>
      <c r="BJ53" s="20"/>
      <c r="BK53" s="20"/>
      <c r="BL53" s="20"/>
      <c r="BM53" s="20"/>
      <c r="BN53" s="20"/>
      <c r="BO53" s="20"/>
      <c r="BP53" s="20"/>
      <c r="BQ53" s="20"/>
      <c r="BR53" s="20"/>
      <c r="BS53" s="20"/>
      <c r="BT53" s="20"/>
      <c r="BU53" s="22">
        <f t="shared" si="372"/>
        <v>0</v>
      </c>
      <c r="BW53" s="20"/>
      <c r="BX53" s="20"/>
      <c r="BY53" s="20"/>
      <c r="BZ53" s="20"/>
      <c r="CA53" s="20"/>
      <c r="CB53" s="20"/>
      <c r="CC53" s="20"/>
      <c r="CD53" s="20"/>
      <c r="CE53" s="20"/>
      <c r="CF53" s="20"/>
      <c r="CG53" s="20"/>
      <c r="CH53" s="20"/>
      <c r="CI53" s="22">
        <f t="shared" si="373"/>
        <v>0</v>
      </c>
      <c r="CK53" s="20"/>
      <c r="CL53" s="20"/>
      <c r="CM53" s="20"/>
      <c r="CN53" s="20"/>
      <c r="CO53" s="20"/>
      <c r="CP53" s="20"/>
      <c r="CQ53" s="20"/>
      <c r="CR53" s="20"/>
      <c r="CS53" s="20"/>
      <c r="CT53" s="20"/>
      <c r="CU53" s="20"/>
      <c r="CV53" s="20"/>
      <c r="CW53" s="22">
        <f t="shared" si="374"/>
        <v>0</v>
      </c>
      <c r="CY53" s="20"/>
      <c r="CZ53" s="20"/>
      <c r="DA53" s="20"/>
      <c r="DB53" s="20"/>
      <c r="DC53" s="20"/>
      <c r="DD53" s="20"/>
      <c r="DE53" s="20"/>
      <c r="DF53" s="20"/>
      <c r="DG53" s="20"/>
      <c r="DH53" s="20"/>
      <c r="DI53" s="20"/>
      <c r="DJ53" s="20"/>
      <c r="DK53" s="22">
        <f t="shared" si="375"/>
        <v>0</v>
      </c>
      <c r="DM53" s="20"/>
      <c r="DN53" s="20"/>
      <c r="DO53" s="20"/>
      <c r="DP53" s="20"/>
      <c r="DQ53" s="20"/>
      <c r="DR53" s="20"/>
      <c r="DS53" s="20"/>
      <c r="DT53" s="20"/>
      <c r="DU53" s="20"/>
      <c r="DV53" s="20"/>
      <c r="DW53" s="20"/>
      <c r="DX53" s="20"/>
      <c r="DY53" s="22">
        <f t="shared" si="376"/>
        <v>0</v>
      </c>
      <c r="EA53" s="20"/>
      <c r="EB53" s="20"/>
      <c r="EC53" s="20"/>
      <c r="ED53" s="20"/>
      <c r="EE53" s="20"/>
      <c r="EF53" s="20"/>
      <c r="EG53" s="20"/>
      <c r="EH53" s="20"/>
      <c r="EI53" s="20"/>
      <c r="EJ53" s="20"/>
      <c r="EK53" s="20"/>
      <c r="EL53" s="20"/>
      <c r="EM53" s="22">
        <f t="shared" si="377"/>
        <v>0</v>
      </c>
    </row>
    <row r="54" spans="3:143" x14ac:dyDescent="0.2">
      <c r="C54" s="19" t="s">
        <v>14</v>
      </c>
      <c r="E54" s="20"/>
      <c r="F54" s="20"/>
      <c r="G54" s="20"/>
      <c r="H54" s="20"/>
      <c r="I54" s="20"/>
      <c r="J54" s="20"/>
      <c r="K54" s="20"/>
      <c r="L54" s="20"/>
      <c r="M54" s="20"/>
      <c r="N54" s="20"/>
      <c r="O54" s="20"/>
      <c r="P54" s="20"/>
      <c r="Q54" s="22">
        <f t="shared" si="368"/>
        <v>0</v>
      </c>
      <c r="S54" s="20"/>
      <c r="T54" s="20"/>
      <c r="U54" s="20"/>
      <c r="V54" s="20"/>
      <c r="W54" s="20"/>
      <c r="X54" s="20"/>
      <c r="Y54" s="20"/>
      <c r="Z54" s="20"/>
      <c r="AA54" s="20"/>
      <c r="AB54" s="20"/>
      <c r="AC54" s="20"/>
      <c r="AD54" s="20"/>
      <c r="AE54" s="22">
        <f t="shared" si="369"/>
        <v>0</v>
      </c>
      <c r="AG54" s="20"/>
      <c r="AH54" s="20"/>
      <c r="AI54" s="20"/>
      <c r="AJ54" s="20"/>
      <c r="AK54" s="20"/>
      <c r="AL54" s="20"/>
      <c r="AM54" s="20"/>
      <c r="AN54" s="20"/>
      <c r="AO54" s="20"/>
      <c r="AP54" s="20"/>
      <c r="AQ54" s="20"/>
      <c r="AR54" s="20"/>
      <c r="AS54" s="22">
        <f t="shared" si="370"/>
        <v>0</v>
      </c>
      <c r="AU54" s="20"/>
      <c r="AV54" s="20"/>
      <c r="AW54" s="20"/>
      <c r="AX54" s="20"/>
      <c r="AY54" s="20"/>
      <c r="AZ54" s="20"/>
      <c r="BA54" s="20"/>
      <c r="BB54" s="20"/>
      <c r="BC54" s="20"/>
      <c r="BD54" s="20"/>
      <c r="BE54" s="20"/>
      <c r="BF54" s="20"/>
      <c r="BG54" s="22">
        <f t="shared" si="371"/>
        <v>0</v>
      </c>
      <c r="BI54" s="20"/>
      <c r="BJ54" s="20"/>
      <c r="BK54" s="20"/>
      <c r="BL54" s="20"/>
      <c r="BM54" s="20"/>
      <c r="BN54" s="20"/>
      <c r="BO54" s="20"/>
      <c r="BP54" s="20"/>
      <c r="BQ54" s="20"/>
      <c r="BR54" s="20"/>
      <c r="BS54" s="20"/>
      <c r="BT54" s="20"/>
      <c r="BU54" s="22">
        <f t="shared" si="372"/>
        <v>0</v>
      </c>
      <c r="BW54" s="20"/>
      <c r="BX54" s="20"/>
      <c r="BY54" s="20"/>
      <c r="BZ54" s="20"/>
      <c r="CA54" s="20"/>
      <c r="CB54" s="20"/>
      <c r="CC54" s="20"/>
      <c r="CD54" s="20"/>
      <c r="CE54" s="20"/>
      <c r="CF54" s="20"/>
      <c r="CG54" s="20"/>
      <c r="CH54" s="20"/>
      <c r="CI54" s="22">
        <f t="shared" si="373"/>
        <v>0</v>
      </c>
      <c r="CK54" s="20"/>
      <c r="CL54" s="20"/>
      <c r="CM54" s="20"/>
      <c r="CN54" s="20"/>
      <c r="CO54" s="20"/>
      <c r="CP54" s="20"/>
      <c r="CQ54" s="20"/>
      <c r="CR54" s="20"/>
      <c r="CS54" s="20"/>
      <c r="CT54" s="20"/>
      <c r="CU54" s="20"/>
      <c r="CV54" s="20"/>
      <c r="CW54" s="22">
        <f t="shared" si="374"/>
        <v>0</v>
      </c>
      <c r="CY54" s="20"/>
      <c r="CZ54" s="20"/>
      <c r="DA54" s="20"/>
      <c r="DB54" s="20"/>
      <c r="DC54" s="20"/>
      <c r="DD54" s="20"/>
      <c r="DE54" s="20"/>
      <c r="DF54" s="20"/>
      <c r="DG54" s="20"/>
      <c r="DH54" s="20"/>
      <c r="DI54" s="20"/>
      <c r="DJ54" s="20"/>
      <c r="DK54" s="22">
        <f t="shared" si="375"/>
        <v>0</v>
      </c>
      <c r="DM54" s="20"/>
      <c r="DN54" s="20"/>
      <c r="DO54" s="20"/>
      <c r="DP54" s="20"/>
      <c r="DQ54" s="20"/>
      <c r="DR54" s="20"/>
      <c r="DS54" s="20"/>
      <c r="DT54" s="20"/>
      <c r="DU54" s="20"/>
      <c r="DV54" s="20"/>
      <c r="DW54" s="20"/>
      <c r="DX54" s="20"/>
      <c r="DY54" s="22">
        <f t="shared" si="376"/>
        <v>0</v>
      </c>
      <c r="EA54" s="20"/>
      <c r="EB54" s="20"/>
      <c r="EC54" s="20"/>
      <c r="ED54" s="20"/>
      <c r="EE54" s="20"/>
      <c r="EF54" s="20"/>
      <c r="EG54" s="20"/>
      <c r="EH54" s="20"/>
      <c r="EI54" s="20"/>
      <c r="EJ54" s="20"/>
      <c r="EK54" s="20"/>
      <c r="EL54" s="20"/>
      <c r="EM54" s="22">
        <f t="shared" si="377"/>
        <v>0</v>
      </c>
    </row>
    <row r="55" spans="3:143" x14ac:dyDescent="0.2">
      <c r="C55" s="19" t="s">
        <v>14</v>
      </c>
      <c r="E55" s="20"/>
      <c r="F55" s="20"/>
      <c r="G55" s="20"/>
      <c r="H55" s="20"/>
      <c r="I55" s="20"/>
      <c r="J55" s="20"/>
      <c r="K55" s="20"/>
      <c r="L55" s="20"/>
      <c r="M55" s="20"/>
      <c r="N55" s="20"/>
      <c r="O55" s="20"/>
      <c r="P55" s="20"/>
      <c r="Q55" s="22">
        <f t="shared" si="368"/>
        <v>0</v>
      </c>
      <c r="S55" s="20"/>
      <c r="T55" s="20"/>
      <c r="U55" s="20"/>
      <c r="V55" s="20"/>
      <c r="W55" s="20"/>
      <c r="X55" s="20"/>
      <c r="Y55" s="20"/>
      <c r="Z55" s="20"/>
      <c r="AA55" s="20"/>
      <c r="AB55" s="20"/>
      <c r="AC55" s="20"/>
      <c r="AD55" s="20"/>
      <c r="AE55" s="22">
        <f t="shared" si="369"/>
        <v>0</v>
      </c>
      <c r="AG55" s="20"/>
      <c r="AH55" s="20"/>
      <c r="AI55" s="20"/>
      <c r="AJ55" s="20"/>
      <c r="AK55" s="20"/>
      <c r="AL55" s="20"/>
      <c r="AM55" s="20"/>
      <c r="AN55" s="20"/>
      <c r="AO55" s="20"/>
      <c r="AP55" s="20"/>
      <c r="AQ55" s="20"/>
      <c r="AR55" s="20"/>
      <c r="AS55" s="22">
        <f t="shared" si="370"/>
        <v>0</v>
      </c>
      <c r="AU55" s="20"/>
      <c r="AV55" s="20"/>
      <c r="AW55" s="20"/>
      <c r="AX55" s="20"/>
      <c r="AY55" s="20"/>
      <c r="AZ55" s="20"/>
      <c r="BA55" s="20"/>
      <c r="BB55" s="20"/>
      <c r="BC55" s="20"/>
      <c r="BD55" s="20"/>
      <c r="BE55" s="20"/>
      <c r="BF55" s="20"/>
      <c r="BG55" s="22">
        <f t="shared" si="371"/>
        <v>0</v>
      </c>
      <c r="BI55" s="20"/>
      <c r="BJ55" s="20"/>
      <c r="BK55" s="20"/>
      <c r="BL55" s="20"/>
      <c r="BM55" s="20"/>
      <c r="BN55" s="20"/>
      <c r="BO55" s="20"/>
      <c r="BP55" s="20"/>
      <c r="BQ55" s="20"/>
      <c r="BR55" s="20"/>
      <c r="BS55" s="20"/>
      <c r="BT55" s="20"/>
      <c r="BU55" s="22">
        <f t="shared" si="372"/>
        <v>0</v>
      </c>
      <c r="BW55" s="20"/>
      <c r="BX55" s="20"/>
      <c r="BY55" s="20"/>
      <c r="BZ55" s="20"/>
      <c r="CA55" s="20"/>
      <c r="CB55" s="20"/>
      <c r="CC55" s="20"/>
      <c r="CD55" s="20"/>
      <c r="CE55" s="20"/>
      <c r="CF55" s="20"/>
      <c r="CG55" s="20"/>
      <c r="CH55" s="20"/>
      <c r="CI55" s="22">
        <f t="shared" si="373"/>
        <v>0</v>
      </c>
      <c r="CK55" s="20"/>
      <c r="CL55" s="20"/>
      <c r="CM55" s="20"/>
      <c r="CN55" s="20"/>
      <c r="CO55" s="20"/>
      <c r="CP55" s="20"/>
      <c r="CQ55" s="20"/>
      <c r="CR55" s="20"/>
      <c r="CS55" s="20"/>
      <c r="CT55" s="20"/>
      <c r="CU55" s="20"/>
      <c r="CV55" s="20"/>
      <c r="CW55" s="22">
        <f t="shared" si="374"/>
        <v>0</v>
      </c>
      <c r="CY55" s="20"/>
      <c r="CZ55" s="20"/>
      <c r="DA55" s="20"/>
      <c r="DB55" s="20"/>
      <c r="DC55" s="20"/>
      <c r="DD55" s="20"/>
      <c r="DE55" s="20"/>
      <c r="DF55" s="20"/>
      <c r="DG55" s="20"/>
      <c r="DH55" s="20"/>
      <c r="DI55" s="20"/>
      <c r="DJ55" s="20"/>
      <c r="DK55" s="22">
        <f t="shared" si="375"/>
        <v>0</v>
      </c>
      <c r="DM55" s="20"/>
      <c r="DN55" s="20"/>
      <c r="DO55" s="20"/>
      <c r="DP55" s="20"/>
      <c r="DQ55" s="20"/>
      <c r="DR55" s="20"/>
      <c r="DS55" s="20"/>
      <c r="DT55" s="20"/>
      <c r="DU55" s="20"/>
      <c r="DV55" s="20"/>
      <c r="DW55" s="20"/>
      <c r="DX55" s="20"/>
      <c r="DY55" s="22">
        <f t="shared" si="376"/>
        <v>0</v>
      </c>
      <c r="EA55" s="20"/>
      <c r="EB55" s="20"/>
      <c r="EC55" s="20"/>
      <c r="ED55" s="20"/>
      <c r="EE55" s="20"/>
      <c r="EF55" s="20"/>
      <c r="EG55" s="20"/>
      <c r="EH55" s="20"/>
      <c r="EI55" s="20"/>
      <c r="EJ55" s="20"/>
      <c r="EK55" s="20"/>
      <c r="EL55" s="20"/>
      <c r="EM55" s="22">
        <f t="shared" si="377"/>
        <v>0</v>
      </c>
    </row>
    <row r="56" spans="3:143" x14ac:dyDescent="0.2">
      <c r="C56" s="19" t="s">
        <v>14</v>
      </c>
      <c r="E56" s="20"/>
      <c r="F56" s="20"/>
      <c r="G56" s="20"/>
      <c r="H56" s="20"/>
      <c r="I56" s="20"/>
      <c r="J56" s="20"/>
      <c r="K56" s="20"/>
      <c r="L56" s="20"/>
      <c r="M56" s="20"/>
      <c r="N56" s="20"/>
      <c r="O56" s="20"/>
      <c r="P56" s="20"/>
      <c r="Q56" s="22">
        <f t="shared" si="368"/>
        <v>0</v>
      </c>
      <c r="S56" s="20"/>
      <c r="T56" s="20"/>
      <c r="U56" s="20"/>
      <c r="V56" s="20"/>
      <c r="W56" s="20"/>
      <c r="X56" s="20"/>
      <c r="Y56" s="20"/>
      <c r="Z56" s="20"/>
      <c r="AA56" s="20"/>
      <c r="AB56" s="20"/>
      <c r="AC56" s="20"/>
      <c r="AD56" s="20"/>
      <c r="AE56" s="22">
        <f t="shared" si="369"/>
        <v>0</v>
      </c>
      <c r="AG56" s="20"/>
      <c r="AH56" s="20"/>
      <c r="AI56" s="20"/>
      <c r="AJ56" s="20"/>
      <c r="AK56" s="20"/>
      <c r="AL56" s="20"/>
      <c r="AM56" s="20"/>
      <c r="AN56" s="20"/>
      <c r="AO56" s="20"/>
      <c r="AP56" s="20"/>
      <c r="AQ56" s="20"/>
      <c r="AR56" s="20"/>
      <c r="AS56" s="22">
        <f t="shared" si="370"/>
        <v>0</v>
      </c>
      <c r="AU56" s="20"/>
      <c r="AV56" s="20"/>
      <c r="AW56" s="20"/>
      <c r="AX56" s="20"/>
      <c r="AY56" s="20"/>
      <c r="AZ56" s="20"/>
      <c r="BA56" s="20"/>
      <c r="BB56" s="20"/>
      <c r="BC56" s="20"/>
      <c r="BD56" s="20"/>
      <c r="BE56" s="20"/>
      <c r="BF56" s="20"/>
      <c r="BG56" s="22">
        <f t="shared" si="371"/>
        <v>0</v>
      </c>
      <c r="BI56" s="20"/>
      <c r="BJ56" s="20"/>
      <c r="BK56" s="20"/>
      <c r="BL56" s="20"/>
      <c r="BM56" s="20"/>
      <c r="BN56" s="20"/>
      <c r="BO56" s="20"/>
      <c r="BP56" s="20"/>
      <c r="BQ56" s="20"/>
      <c r="BR56" s="20"/>
      <c r="BS56" s="20"/>
      <c r="BT56" s="20"/>
      <c r="BU56" s="22">
        <f t="shared" si="372"/>
        <v>0</v>
      </c>
      <c r="BW56" s="20"/>
      <c r="BX56" s="20"/>
      <c r="BY56" s="20"/>
      <c r="BZ56" s="20"/>
      <c r="CA56" s="20"/>
      <c r="CB56" s="20"/>
      <c r="CC56" s="20"/>
      <c r="CD56" s="20"/>
      <c r="CE56" s="20"/>
      <c r="CF56" s="20"/>
      <c r="CG56" s="20"/>
      <c r="CH56" s="20"/>
      <c r="CI56" s="22">
        <f t="shared" si="373"/>
        <v>0</v>
      </c>
      <c r="CK56" s="20"/>
      <c r="CL56" s="20"/>
      <c r="CM56" s="20"/>
      <c r="CN56" s="20"/>
      <c r="CO56" s="20"/>
      <c r="CP56" s="20"/>
      <c r="CQ56" s="20"/>
      <c r="CR56" s="20"/>
      <c r="CS56" s="20"/>
      <c r="CT56" s="20"/>
      <c r="CU56" s="20"/>
      <c r="CV56" s="20"/>
      <c r="CW56" s="22">
        <f t="shared" si="374"/>
        <v>0</v>
      </c>
      <c r="CY56" s="20"/>
      <c r="CZ56" s="20"/>
      <c r="DA56" s="20"/>
      <c r="DB56" s="20"/>
      <c r="DC56" s="20"/>
      <c r="DD56" s="20"/>
      <c r="DE56" s="20"/>
      <c r="DF56" s="20"/>
      <c r="DG56" s="20"/>
      <c r="DH56" s="20"/>
      <c r="DI56" s="20"/>
      <c r="DJ56" s="20"/>
      <c r="DK56" s="22">
        <f t="shared" si="375"/>
        <v>0</v>
      </c>
      <c r="DM56" s="20"/>
      <c r="DN56" s="20"/>
      <c r="DO56" s="20"/>
      <c r="DP56" s="20"/>
      <c r="DQ56" s="20"/>
      <c r="DR56" s="20"/>
      <c r="DS56" s="20"/>
      <c r="DT56" s="20"/>
      <c r="DU56" s="20"/>
      <c r="DV56" s="20"/>
      <c r="DW56" s="20"/>
      <c r="DX56" s="20"/>
      <c r="DY56" s="22">
        <f t="shared" si="376"/>
        <v>0</v>
      </c>
      <c r="EA56" s="20"/>
      <c r="EB56" s="20"/>
      <c r="EC56" s="20"/>
      <c r="ED56" s="20"/>
      <c r="EE56" s="20"/>
      <c r="EF56" s="20"/>
      <c r="EG56" s="20"/>
      <c r="EH56" s="20"/>
      <c r="EI56" s="20"/>
      <c r="EJ56" s="20"/>
      <c r="EK56" s="20"/>
      <c r="EL56" s="20"/>
      <c r="EM56" s="22">
        <f t="shared" si="377"/>
        <v>0</v>
      </c>
    </row>
    <row r="57" spans="3:143" x14ac:dyDescent="0.2">
      <c r="C57" s="19" t="s">
        <v>14</v>
      </c>
      <c r="E57" s="20"/>
      <c r="F57" s="20"/>
      <c r="G57" s="20"/>
      <c r="H57" s="20"/>
      <c r="I57" s="20"/>
      <c r="J57" s="20"/>
      <c r="K57" s="20"/>
      <c r="L57" s="20"/>
      <c r="M57" s="20"/>
      <c r="N57" s="20"/>
      <c r="O57" s="20"/>
      <c r="P57" s="20"/>
      <c r="Q57" s="22">
        <f t="shared" si="368"/>
        <v>0</v>
      </c>
      <c r="S57" s="20"/>
      <c r="T57" s="20"/>
      <c r="U57" s="20"/>
      <c r="V57" s="20"/>
      <c r="W57" s="20"/>
      <c r="X57" s="20"/>
      <c r="Y57" s="20"/>
      <c r="Z57" s="20"/>
      <c r="AA57" s="20"/>
      <c r="AB57" s="20"/>
      <c r="AC57" s="20"/>
      <c r="AD57" s="20"/>
      <c r="AE57" s="22">
        <f t="shared" si="369"/>
        <v>0</v>
      </c>
      <c r="AG57" s="20"/>
      <c r="AH57" s="20"/>
      <c r="AI57" s="20"/>
      <c r="AJ57" s="20"/>
      <c r="AK57" s="20"/>
      <c r="AL57" s="20"/>
      <c r="AM57" s="20"/>
      <c r="AN57" s="20"/>
      <c r="AO57" s="20"/>
      <c r="AP57" s="20"/>
      <c r="AQ57" s="20"/>
      <c r="AR57" s="20"/>
      <c r="AS57" s="22">
        <f t="shared" si="370"/>
        <v>0</v>
      </c>
      <c r="AU57" s="20"/>
      <c r="AV57" s="20"/>
      <c r="AW57" s="20"/>
      <c r="AX57" s="20"/>
      <c r="AY57" s="20"/>
      <c r="AZ57" s="20"/>
      <c r="BA57" s="20"/>
      <c r="BB57" s="20"/>
      <c r="BC57" s="20"/>
      <c r="BD57" s="20"/>
      <c r="BE57" s="20"/>
      <c r="BF57" s="20"/>
      <c r="BG57" s="22">
        <f t="shared" si="371"/>
        <v>0</v>
      </c>
      <c r="BI57" s="20"/>
      <c r="BJ57" s="20"/>
      <c r="BK57" s="20"/>
      <c r="BL57" s="20"/>
      <c r="BM57" s="20"/>
      <c r="BN57" s="20"/>
      <c r="BO57" s="20"/>
      <c r="BP57" s="20"/>
      <c r="BQ57" s="20"/>
      <c r="BR57" s="20"/>
      <c r="BS57" s="20"/>
      <c r="BT57" s="20"/>
      <c r="BU57" s="22">
        <f t="shared" si="372"/>
        <v>0</v>
      </c>
      <c r="BW57" s="20"/>
      <c r="BX57" s="20"/>
      <c r="BY57" s="20"/>
      <c r="BZ57" s="20"/>
      <c r="CA57" s="20"/>
      <c r="CB57" s="20"/>
      <c r="CC57" s="20"/>
      <c r="CD57" s="20"/>
      <c r="CE57" s="20"/>
      <c r="CF57" s="20"/>
      <c r="CG57" s="20"/>
      <c r="CH57" s="20"/>
      <c r="CI57" s="22">
        <f t="shared" si="373"/>
        <v>0</v>
      </c>
      <c r="CK57" s="20"/>
      <c r="CL57" s="20"/>
      <c r="CM57" s="20"/>
      <c r="CN57" s="20"/>
      <c r="CO57" s="20"/>
      <c r="CP57" s="20"/>
      <c r="CQ57" s="20"/>
      <c r="CR57" s="20"/>
      <c r="CS57" s="20"/>
      <c r="CT57" s="20"/>
      <c r="CU57" s="20"/>
      <c r="CV57" s="20"/>
      <c r="CW57" s="22">
        <f t="shared" si="374"/>
        <v>0</v>
      </c>
      <c r="CY57" s="20"/>
      <c r="CZ57" s="20"/>
      <c r="DA57" s="20"/>
      <c r="DB57" s="20"/>
      <c r="DC57" s="20"/>
      <c r="DD57" s="20"/>
      <c r="DE57" s="20"/>
      <c r="DF57" s="20"/>
      <c r="DG57" s="20"/>
      <c r="DH57" s="20"/>
      <c r="DI57" s="20"/>
      <c r="DJ57" s="20"/>
      <c r="DK57" s="22">
        <f t="shared" si="375"/>
        <v>0</v>
      </c>
      <c r="DM57" s="20"/>
      <c r="DN57" s="20"/>
      <c r="DO57" s="20"/>
      <c r="DP57" s="20"/>
      <c r="DQ57" s="20"/>
      <c r="DR57" s="20"/>
      <c r="DS57" s="20"/>
      <c r="DT57" s="20"/>
      <c r="DU57" s="20"/>
      <c r="DV57" s="20"/>
      <c r="DW57" s="20"/>
      <c r="DX57" s="20"/>
      <c r="DY57" s="22">
        <f t="shared" si="376"/>
        <v>0</v>
      </c>
      <c r="EA57" s="20"/>
      <c r="EB57" s="20"/>
      <c r="EC57" s="20"/>
      <c r="ED57" s="20"/>
      <c r="EE57" s="20"/>
      <c r="EF57" s="20"/>
      <c r="EG57" s="20"/>
      <c r="EH57" s="20"/>
      <c r="EI57" s="20"/>
      <c r="EJ57" s="20"/>
      <c r="EK57" s="20"/>
      <c r="EL57" s="20"/>
      <c r="EM57" s="22">
        <f t="shared" si="377"/>
        <v>0</v>
      </c>
    </row>
    <row r="58" spans="3:143" x14ac:dyDescent="0.2">
      <c r="C58" s="16" t="s">
        <v>12</v>
      </c>
      <c r="E58" s="21" cm="1">
        <f t="array" aca="1" ref="E58" ca="1">SUM(INDIRECT(ADDRESS(expenses_min_row, COLUMN()) &amp; ":" &amp; ADDRESS(expenses_max_row, COLUMN())))</f>
        <v>0</v>
      </c>
      <c r="F58" s="21" cm="1">
        <f t="array" aca="1" ref="F58" ca="1">SUM(INDIRECT(ADDRESS(expenses_min_row, COLUMN()) &amp; ":" &amp; ADDRESS(expenses_max_row, COLUMN())))</f>
        <v>0</v>
      </c>
      <c r="G58" s="21" cm="1">
        <f t="array" aca="1" ref="G58" ca="1">SUM(INDIRECT(ADDRESS(expenses_min_row, COLUMN()) &amp; ":" &amp; ADDRESS(expenses_max_row, COLUMN())))</f>
        <v>0</v>
      </c>
      <c r="H58" s="21" cm="1">
        <f t="array" aca="1" ref="H58" ca="1">SUM(INDIRECT(ADDRESS(expenses_min_row, COLUMN()) &amp; ":" &amp; ADDRESS(expenses_max_row, COLUMN())))</f>
        <v>0</v>
      </c>
      <c r="I58" s="21" cm="1">
        <f t="array" aca="1" ref="I58" ca="1">SUM(INDIRECT(ADDRESS(expenses_min_row, COLUMN()) &amp; ":" &amp; ADDRESS(expenses_max_row, COLUMN())))</f>
        <v>0</v>
      </c>
      <c r="J58" s="21" cm="1">
        <f t="array" aca="1" ref="J58" ca="1">SUM(INDIRECT(ADDRESS(expenses_min_row, COLUMN()) &amp; ":" &amp; ADDRESS(expenses_max_row, COLUMN())))</f>
        <v>0</v>
      </c>
      <c r="K58" s="21" cm="1">
        <f t="array" aca="1" ref="K58" ca="1">SUM(INDIRECT(ADDRESS(expenses_min_row, COLUMN()) &amp; ":" &amp; ADDRESS(expenses_max_row, COLUMN())))</f>
        <v>0</v>
      </c>
      <c r="L58" s="21" cm="1">
        <f t="array" aca="1" ref="L58" ca="1">SUM(INDIRECT(ADDRESS(expenses_min_row, COLUMN()) &amp; ":" &amp; ADDRESS(expenses_max_row, COLUMN())))</f>
        <v>0</v>
      </c>
      <c r="M58" s="21" cm="1">
        <f t="array" aca="1" ref="M58" ca="1">SUM(INDIRECT(ADDRESS(expenses_min_row, COLUMN()) &amp; ":" &amp; ADDRESS(expenses_max_row, COLUMN())))</f>
        <v>0</v>
      </c>
      <c r="N58" s="21" cm="1">
        <f t="array" aca="1" ref="N58" ca="1">SUM(INDIRECT(ADDRESS(expenses_min_row, COLUMN()) &amp; ":" &amp; ADDRESS(expenses_max_row, COLUMN())))</f>
        <v>0</v>
      </c>
      <c r="O58" s="21" cm="1">
        <f t="array" aca="1" ref="O58" ca="1">SUM(INDIRECT(ADDRESS(expenses_min_row, COLUMN()) &amp; ":" &amp; ADDRESS(expenses_max_row, COLUMN())))</f>
        <v>0</v>
      </c>
      <c r="P58" s="21" cm="1">
        <f t="array" aca="1" ref="P58" ca="1">SUM(INDIRECT(ADDRESS(expenses_min_row, COLUMN()) &amp; ":" &amp; ADDRESS(expenses_max_row, COLUMN())))</f>
        <v>0</v>
      </c>
      <c r="Q58" s="21" cm="1">
        <f t="array" aca="1" ref="Q58" ca="1">SUM(INDIRECT(ADDRESS(expenses_min_row, COLUMN()) &amp; ":" &amp; ADDRESS(expenses_max_row, COLUMN())))</f>
        <v>0</v>
      </c>
      <c r="S58" s="21" cm="1">
        <f t="array" aca="1" ref="S58" ca="1">SUM(INDIRECT(ADDRESS(expenses_min_row, COLUMN()) &amp; ":" &amp; ADDRESS(expenses_max_row, COLUMN())))</f>
        <v>0</v>
      </c>
      <c r="T58" s="21" cm="1">
        <f t="array" aca="1" ref="T58" ca="1">SUM(INDIRECT(ADDRESS(expenses_min_row, COLUMN()) &amp; ":" &amp; ADDRESS(expenses_max_row, COLUMN())))</f>
        <v>0</v>
      </c>
      <c r="U58" s="21" cm="1">
        <f t="array" aca="1" ref="U58" ca="1">SUM(INDIRECT(ADDRESS(expenses_min_row, COLUMN()) &amp; ":" &amp; ADDRESS(expenses_max_row, COLUMN())))</f>
        <v>0</v>
      </c>
      <c r="V58" s="21" cm="1">
        <f t="array" aca="1" ref="V58" ca="1">SUM(INDIRECT(ADDRESS(expenses_min_row, COLUMN()) &amp; ":" &amp; ADDRESS(expenses_max_row, COLUMN())))</f>
        <v>0</v>
      </c>
      <c r="W58" s="21" cm="1">
        <f t="array" aca="1" ref="W58" ca="1">SUM(INDIRECT(ADDRESS(expenses_min_row, COLUMN()) &amp; ":" &amp; ADDRESS(expenses_max_row, COLUMN())))</f>
        <v>0</v>
      </c>
      <c r="X58" s="21" cm="1">
        <f t="array" aca="1" ref="X58" ca="1">SUM(INDIRECT(ADDRESS(expenses_min_row, COLUMN()) &amp; ":" &amp; ADDRESS(expenses_max_row, COLUMN())))</f>
        <v>0</v>
      </c>
      <c r="Y58" s="21" cm="1">
        <f t="array" aca="1" ref="Y58" ca="1">SUM(INDIRECT(ADDRESS(expenses_min_row, COLUMN()) &amp; ":" &amp; ADDRESS(expenses_max_row, COLUMN())))</f>
        <v>0</v>
      </c>
      <c r="Z58" s="21" cm="1">
        <f t="array" aca="1" ref="Z58" ca="1">SUM(INDIRECT(ADDRESS(expenses_min_row, COLUMN()) &amp; ":" &amp; ADDRESS(expenses_max_row, COLUMN())))</f>
        <v>0</v>
      </c>
      <c r="AA58" s="21" cm="1">
        <f t="array" aca="1" ref="AA58" ca="1">SUM(INDIRECT(ADDRESS(expenses_min_row, COLUMN()) &amp; ":" &amp; ADDRESS(expenses_max_row, COLUMN())))</f>
        <v>0</v>
      </c>
      <c r="AB58" s="21" cm="1">
        <f t="array" aca="1" ref="AB58" ca="1">SUM(INDIRECT(ADDRESS(expenses_min_row, COLUMN()) &amp; ":" &amp; ADDRESS(expenses_max_row, COLUMN())))</f>
        <v>0</v>
      </c>
      <c r="AC58" s="21" cm="1">
        <f t="array" aca="1" ref="AC58" ca="1">SUM(INDIRECT(ADDRESS(expenses_min_row, COLUMN()) &amp; ":" &amp; ADDRESS(expenses_max_row, COLUMN())))</f>
        <v>0</v>
      </c>
      <c r="AD58" s="21" cm="1">
        <f t="array" aca="1" ref="AD58" ca="1">SUM(INDIRECT(ADDRESS(expenses_min_row, COLUMN()) &amp; ":" &amp; ADDRESS(expenses_max_row, COLUMN())))</f>
        <v>0</v>
      </c>
      <c r="AE58" s="21" cm="1">
        <f t="array" aca="1" ref="AE58" ca="1">SUM(INDIRECT(ADDRESS(expenses_min_row, COLUMN()) &amp; ":" &amp; ADDRESS(expenses_max_row, COLUMN())))</f>
        <v>0</v>
      </c>
      <c r="AG58" s="21" cm="1">
        <f t="array" aca="1" ref="AG58" ca="1">SUM(INDIRECT(ADDRESS(expenses_min_row, COLUMN()) &amp; ":" &amp; ADDRESS(expenses_max_row, COLUMN())))</f>
        <v>0</v>
      </c>
      <c r="AH58" s="21" cm="1">
        <f t="array" aca="1" ref="AH58" ca="1">SUM(INDIRECT(ADDRESS(expenses_min_row, COLUMN()) &amp; ":" &amp; ADDRESS(expenses_max_row, COLUMN())))</f>
        <v>0</v>
      </c>
      <c r="AI58" s="21" cm="1">
        <f t="array" aca="1" ref="AI58" ca="1">SUM(INDIRECT(ADDRESS(expenses_min_row, COLUMN()) &amp; ":" &amp; ADDRESS(expenses_max_row, COLUMN())))</f>
        <v>0</v>
      </c>
      <c r="AJ58" s="21" cm="1">
        <f t="array" aca="1" ref="AJ58" ca="1">SUM(INDIRECT(ADDRESS(expenses_min_row, COLUMN()) &amp; ":" &amp; ADDRESS(expenses_max_row, COLUMN())))</f>
        <v>0</v>
      </c>
      <c r="AK58" s="21" cm="1">
        <f t="array" aca="1" ref="AK58" ca="1">SUM(INDIRECT(ADDRESS(expenses_min_row, COLUMN()) &amp; ":" &amp; ADDRESS(expenses_max_row, COLUMN())))</f>
        <v>0</v>
      </c>
      <c r="AL58" s="21" cm="1">
        <f t="array" aca="1" ref="AL58" ca="1">SUM(INDIRECT(ADDRESS(expenses_min_row, COLUMN()) &amp; ":" &amp; ADDRESS(expenses_max_row, COLUMN())))</f>
        <v>0</v>
      </c>
      <c r="AM58" s="21" cm="1">
        <f t="array" aca="1" ref="AM58" ca="1">SUM(INDIRECT(ADDRESS(expenses_min_row, COLUMN()) &amp; ":" &amp; ADDRESS(expenses_max_row, COLUMN())))</f>
        <v>0</v>
      </c>
      <c r="AN58" s="21" cm="1">
        <f t="array" aca="1" ref="AN58" ca="1">SUM(INDIRECT(ADDRESS(expenses_min_row, COLUMN()) &amp; ":" &amp; ADDRESS(expenses_max_row, COLUMN())))</f>
        <v>0</v>
      </c>
      <c r="AO58" s="21" cm="1">
        <f t="array" aca="1" ref="AO58" ca="1">SUM(INDIRECT(ADDRESS(expenses_min_row, COLUMN()) &amp; ":" &amp; ADDRESS(expenses_max_row, COLUMN())))</f>
        <v>0</v>
      </c>
      <c r="AP58" s="21" cm="1">
        <f t="array" aca="1" ref="AP58" ca="1">SUM(INDIRECT(ADDRESS(expenses_min_row, COLUMN()) &amp; ":" &amp; ADDRESS(expenses_max_row, COLUMN())))</f>
        <v>0</v>
      </c>
      <c r="AQ58" s="21" cm="1">
        <f t="array" aca="1" ref="AQ58" ca="1">SUM(INDIRECT(ADDRESS(expenses_min_row, COLUMN()) &amp; ":" &amp; ADDRESS(expenses_max_row, COLUMN())))</f>
        <v>0</v>
      </c>
      <c r="AR58" s="21" cm="1">
        <f t="array" aca="1" ref="AR58" ca="1">SUM(INDIRECT(ADDRESS(expenses_min_row, COLUMN()) &amp; ":" &amp; ADDRESS(expenses_max_row, COLUMN())))</f>
        <v>0</v>
      </c>
      <c r="AS58" s="21" cm="1">
        <f t="array" aca="1" ref="AS58" ca="1">SUM(INDIRECT(ADDRESS(expenses_min_row, COLUMN()) &amp; ":" &amp; ADDRESS(expenses_max_row, COLUMN())))</f>
        <v>0</v>
      </c>
      <c r="AU58" s="21" cm="1">
        <f t="array" aca="1" ref="AU58" ca="1">SUM(INDIRECT(ADDRESS(expenses_min_row, COLUMN()) &amp; ":" &amp; ADDRESS(expenses_max_row, COLUMN())))</f>
        <v>0</v>
      </c>
      <c r="AV58" s="21" cm="1">
        <f t="array" aca="1" ref="AV58" ca="1">SUM(INDIRECT(ADDRESS(expenses_min_row, COLUMN()) &amp; ":" &amp; ADDRESS(expenses_max_row, COLUMN())))</f>
        <v>0</v>
      </c>
      <c r="AW58" s="21" cm="1">
        <f t="array" aca="1" ref="AW58" ca="1">SUM(INDIRECT(ADDRESS(expenses_min_row, COLUMN()) &amp; ":" &amp; ADDRESS(expenses_max_row, COLUMN())))</f>
        <v>0</v>
      </c>
      <c r="AX58" s="21" cm="1">
        <f t="array" aca="1" ref="AX58" ca="1">SUM(INDIRECT(ADDRESS(expenses_min_row, COLUMN()) &amp; ":" &amp; ADDRESS(expenses_max_row, COLUMN())))</f>
        <v>0</v>
      </c>
      <c r="AY58" s="21" cm="1">
        <f t="array" aca="1" ref="AY58" ca="1">SUM(INDIRECT(ADDRESS(expenses_min_row, COLUMN()) &amp; ":" &amp; ADDRESS(expenses_max_row, COLUMN())))</f>
        <v>0</v>
      </c>
      <c r="AZ58" s="21" cm="1">
        <f t="array" aca="1" ref="AZ58" ca="1">SUM(INDIRECT(ADDRESS(expenses_min_row, COLUMN()) &amp; ":" &amp; ADDRESS(expenses_max_row, COLUMN())))</f>
        <v>0</v>
      </c>
      <c r="BA58" s="21" cm="1">
        <f t="array" aca="1" ref="BA58" ca="1">SUM(INDIRECT(ADDRESS(expenses_min_row, COLUMN()) &amp; ":" &amp; ADDRESS(expenses_max_row, COLUMN())))</f>
        <v>0</v>
      </c>
      <c r="BB58" s="21" cm="1">
        <f t="array" aca="1" ref="BB58" ca="1">SUM(INDIRECT(ADDRESS(expenses_min_row, COLUMN()) &amp; ":" &amp; ADDRESS(expenses_max_row, COLUMN())))</f>
        <v>0</v>
      </c>
      <c r="BC58" s="21" cm="1">
        <f t="array" aca="1" ref="BC58" ca="1">SUM(INDIRECT(ADDRESS(expenses_min_row, COLUMN()) &amp; ":" &amp; ADDRESS(expenses_max_row, COLUMN())))</f>
        <v>0</v>
      </c>
      <c r="BD58" s="21" cm="1">
        <f t="array" aca="1" ref="BD58" ca="1">SUM(INDIRECT(ADDRESS(expenses_min_row, COLUMN()) &amp; ":" &amp; ADDRESS(expenses_max_row, COLUMN())))</f>
        <v>0</v>
      </c>
      <c r="BE58" s="21" cm="1">
        <f t="array" aca="1" ref="BE58" ca="1">SUM(INDIRECT(ADDRESS(expenses_min_row, COLUMN()) &amp; ":" &amp; ADDRESS(expenses_max_row, COLUMN())))</f>
        <v>0</v>
      </c>
      <c r="BF58" s="21" cm="1">
        <f t="array" aca="1" ref="BF58" ca="1">SUM(INDIRECT(ADDRESS(expenses_min_row, COLUMN()) &amp; ":" &amp; ADDRESS(expenses_max_row, COLUMN())))</f>
        <v>0</v>
      </c>
      <c r="BG58" s="21" cm="1">
        <f t="array" aca="1" ref="BG58" ca="1">SUM(INDIRECT(ADDRESS(expenses_min_row, COLUMN()) &amp; ":" &amp; ADDRESS(expenses_max_row, COLUMN())))</f>
        <v>0</v>
      </c>
      <c r="BI58" s="21" cm="1">
        <f t="array" aca="1" ref="BI58" ca="1">SUM(INDIRECT(ADDRESS(expenses_min_row, COLUMN()) &amp; ":" &amp; ADDRESS(expenses_max_row, COLUMN())))</f>
        <v>0</v>
      </c>
      <c r="BJ58" s="21" cm="1">
        <f t="array" aca="1" ref="BJ58" ca="1">SUM(INDIRECT(ADDRESS(expenses_min_row, COLUMN()) &amp; ":" &amp; ADDRESS(expenses_max_row, COLUMN())))</f>
        <v>0</v>
      </c>
      <c r="BK58" s="21" cm="1">
        <f t="array" aca="1" ref="BK58" ca="1">SUM(INDIRECT(ADDRESS(expenses_min_row, COLUMN()) &amp; ":" &amp; ADDRESS(expenses_max_row, COLUMN())))</f>
        <v>0</v>
      </c>
      <c r="BL58" s="21" cm="1">
        <f t="array" aca="1" ref="BL58" ca="1">SUM(INDIRECT(ADDRESS(expenses_min_row, COLUMN()) &amp; ":" &amp; ADDRESS(expenses_max_row, COLUMN())))</f>
        <v>0</v>
      </c>
      <c r="BM58" s="21" cm="1">
        <f t="array" aca="1" ref="BM58" ca="1">SUM(INDIRECT(ADDRESS(expenses_min_row, COLUMN()) &amp; ":" &amp; ADDRESS(expenses_max_row, COLUMN())))</f>
        <v>0</v>
      </c>
      <c r="BN58" s="21" cm="1">
        <f t="array" aca="1" ref="BN58" ca="1">SUM(INDIRECT(ADDRESS(expenses_min_row, COLUMN()) &amp; ":" &amp; ADDRESS(expenses_max_row, COLUMN())))</f>
        <v>0</v>
      </c>
      <c r="BO58" s="21" cm="1">
        <f t="array" aca="1" ref="BO58" ca="1">SUM(INDIRECT(ADDRESS(expenses_min_row, COLUMN()) &amp; ":" &amp; ADDRESS(expenses_max_row, COLUMN())))</f>
        <v>0</v>
      </c>
      <c r="BP58" s="21" cm="1">
        <f t="array" aca="1" ref="BP58" ca="1">SUM(INDIRECT(ADDRESS(expenses_min_row, COLUMN()) &amp; ":" &amp; ADDRESS(expenses_max_row, COLUMN())))</f>
        <v>0</v>
      </c>
      <c r="BQ58" s="21" cm="1">
        <f t="array" aca="1" ref="BQ58" ca="1">SUM(INDIRECT(ADDRESS(expenses_min_row, COLUMN()) &amp; ":" &amp; ADDRESS(expenses_max_row, COLUMN())))</f>
        <v>0</v>
      </c>
      <c r="BR58" s="21" cm="1">
        <f t="array" aca="1" ref="BR58" ca="1">SUM(INDIRECT(ADDRESS(expenses_min_row, COLUMN()) &amp; ":" &amp; ADDRESS(expenses_max_row, COLUMN())))</f>
        <v>0</v>
      </c>
      <c r="BS58" s="21" cm="1">
        <f t="array" aca="1" ref="BS58" ca="1">SUM(INDIRECT(ADDRESS(expenses_min_row, COLUMN()) &amp; ":" &amp; ADDRESS(expenses_max_row, COLUMN())))</f>
        <v>0</v>
      </c>
      <c r="BT58" s="21" cm="1">
        <f t="array" aca="1" ref="BT58" ca="1">SUM(INDIRECT(ADDRESS(expenses_min_row, COLUMN()) &amp; ":" &amp; ADDRESS(expenses_max_row, COLUMN())))</f>
        <v>0</v>
      </c>
      <c r="BU58" s="21" cm="1">
        <f t="array" aca="1" ref="BU58" ca="1">SUM(INDIRECT(ADDRESS(expenses_min_row, COLUMN()) &amp; ":" &amp; ADDRESS(expenses_max_row, COLUMN())))</f>
        <v>0</v>
      </c>
      <c r="BW58" s="21" cm="1">
        <f t="array" aca="1" ref="BW58" ca="1">SUM(INDIRECT(ADDRESS(expenses_min_row, COLUMN()) &amp; ":" &amp; ADDRESS(expenses_max_row, COLUMN())))</f>
        <v>0</v>
      </c>
      <c r="BX58" s="21" cm="1">
        <f t="array" aca="1" ref="BX58" ca="1">SUM(INDIRECT(ADDRESS(expenses_min_row, COLUMN()) &amp; ":" &amp; ADDRESS(expenses_max_row, COLUMN())))</f>
        <v>0</v>
      </c>
      <c r="BY58" s="21" cm="1">
        <f t="array" aca="1" ref="BY58" ca="1">SUM(INDIRECT(ADDRESS(expenses_min_row, COLUMN()) &amp; ":" &amp; ADDRESS(expenses_max_row, COLUMN())))</f>
        <v>0</v>
      </c>
      <c r="BZ58" s="21" cm="1">
        <f t="array" aca="1" ref="BZ58" ca="1">SUM(INDIRECT(ADDRESS(expenses_min_row, COLUMN()) &amp; ":" &amp; ADDRESS(expenses_max_row, COLUMN())))</f>
        <v>0</v>
      </c>
      <c r="CA58" s="21" cm="1">
        <f t="array" aca="1" ref="CA58" ca="1">SUM(INDIRECT(ADDRESS(expenses_min_row, COLUMN()) &amp; ":" &amp; ADDRESS(expenses_max_row, COLUMN())))</f>
        <v>0</v>
      </c>
      <c r="CB58" s="21" cm="1">
        <f t="array" aca="1" ref="CB58" ca="1">SUM(INDIRECT(ADDRESS(expenses_min_row, COLUMN()) &amp; ":" &amp; ADDRESS(expenses_max_row, COLUMN())))</f>
        <v>0</v>
      </c>
      <c r="CC58" s="21" cm="1">
        <f t="array" aca="1" ref="CC58" ca="1">SUM(INDIRECT(ADDRESS(expenses_min_row, COLUMN()) &amp; ":" &amp; ADDRESS(expenses_max_row, COLUMN())))</f>
        <v>0</v>
      </c>
      <c r="CD58" s="21" cm="1">
        <f t="array" aca="1" ref="CD58" ca="1">SUM(INDIRECT(ADDRESS(expenses_min_row, COLUMN()) &amp; ":" &amp; ADDRESS(expenses_max_row, COLUMN())))</f>
        <v>0</v>
      </c>
      <c r="CE58" s="21" cm="1">
        <f t="array" aca="1" ref="CE58" ca="1">SUM(INDIRECT(ADDRESS(expenses_min_row, COLUMN()) &amp; ":" &amp; ADDRESS(expenses_max_row, COLUMN())))</f>
        <v>0</v>
      </c>
      <c r="CF58" s="21" cm="1">
        <f t="array" aca="1" ref="CF58" ca="1">SUM(INDIRECT(ADDRESS(expenses_min_row, COLUMN()) &amp; ":" &amp; ADDRESS(expenses_max_row, COLUMN())))</f>
        <v>0</v>
      </c>
      <c r="CG58" s="21" cm="1">
        <f t="array" aca="1" ref="CG58" ca="1">SUM(INDIRECT(ADDRESS(expenses_min_row, COLUMN()) &amp; ":" &amp; ADDRESS(expenses_max_row, COLUMN())))</f>
        <v>0</v>
      </c>
      <c r="CH58" s="21" cm="1">
        <f t="array" aca="1" ref="CH58" ca="1">SUM(INDIRECT(ADDRESS(expenses_min_row, COLUMN()) &amp; ":" &amp; ADDRESS(expenses_max_row, COLUMN())))</f>
        <v>0</v>
      </c>
      <c r="CI58" s="21" cm="1">
        <f t="array" aca="1" ref="CI58" ca="1">SUM(INDIRECT(ADDRESS(expenses_min_row, COLUMN()) &amp; ":" &amp; ADDRESS(expenses_max_row, COLUMN())))</f>
        <v>0</v>
      </c>
      <c r="CK58" s="21" cm="1">
        <f t="array" aca="1" ref="CK58" ca="1">SUM(INDIRECT(ADDRESS(expenses_min_row, COLUMN()) &amp; ":" &amp; ADDRESS(expenses_max_row, COLUMN())))</f>
        <v>0</v>
      </c>
      <c r="CL58" s="21" cm="1">
        <f t="array" aca="1" ref="CL58" ca="1">SUM(INDIRECT(ADDRESS(expenses_min_row, COLUMN()) &amp; ":" &amp; ADDRESS(expenses_max_row, COLUMN())))</f>
        <v>0</v>
      </c>
      <c r="CM58" s="21" cm="1">
        <f t="array" aca="1" ref="CM58" ca="1">SUM(INDIRECT(ADDRESS(expenses_min_row, COLUMN()) &amp; ":" &amp; ADDRESS(expenses_max_row, COLUMN())))</f>
        <v>0</v>
      </c>
      <c r="CN58" s="21" cm="1">
        <f t="array" aca="1" ref="CN58" ca="1">SUM(INDIRECT(ADDRESS(expenses_min_row, COLUMN()) &amp; ":" &amp; ADDRESS(expenses_max_row, COLUMN())))</f>
        <v>0</v>
      </c>
      <c r="CO58" s="21" cm="1">
        <f t="array" aca="1" ref="CO58" ca="1">SUM(INDIRECT(ADDRESS(expenses_min_row, COLUMN()) &amp; ":" &amp; ADDRESS(expenses_max_row, COLUMN())))</f>
        <v>0</v>
      </c>
      <c r="CP58" s="21" cm="1">
        <f t="array" aca="1" ref="CP58" ca="1">SUM(INDIRECT(ADDRESS(expenses_min_row, COLUMN()) &amp; ":" &amp; ADDRESS(expenses_max_row, COLUMN())))</f>
        <v>0</v>
      </c>
      <c r="CQ58" s="21" cm="1">
        <f t="array" aca="1" ref="CQ58" ca="1">SUM(INDIRECT(ADDRESS(expenses_min_row, COLUMN()) &amp; ":" &amp; ADDRESS(expenses_max_row, COLUMN())))</f>
        <v>0</v>
      </c>
      <c r="CR58" s="21" cm="1">
        <f t="array" aca="1" ref="CR58" ca="1">SUM(INDIRECT(ADDRESS(expenses_min_row, COLUMN()) &amp; ":" &amp; ADDRESS(expenses_max_row, COLUMN())))</f>
        <v>0</v>
      </c>
      <c r="CS58" s="21" cm="1">
        <f t="array" aca="1" ref="CS58" ca="1">SUM(INDIRECT(ADDRESS(expenses_min_row, COLUMN()) &amp; ":" &amp; ADDRESS(expenses_max_row, COLUMN())))</f>
        <v>0</v>
      </c>
      <c r="CT58" s="21" cm="1">
        <f t="array" aca="1" ref="CT58" ca="1">SUM(INDIRECT(ADDRESS(expenses_min_row, COLUMN()) &amp; ":" &amp; ADDRESS(expenses_max_row, COLUMN())))</f>
        <v>0</v>
      </c>
      <c r="CU58" s="21" cm="1">
        <f t="array" aca="1" ref="CU58" ca="1">SUM(INDIRECT(ADDRESS(expenses_min_row, COLUMN()) &amp; ":" &amp; ADDRESS(expenses_max_row, COLUMN())))</f>
        <v>0</v>
      </c>
      <c r="CV58" s="21" cm="1">
        <f t="array" aca="1" ref="CV58" ca="1">SUM(INDIRECT(ADDRESS(expenses_min_row, COLUMN()) &amp; ":" &amp; ADDRESS(expenses_max_row, COLUMN())))</f>
        <v>0</v>
      </c>
      <c r="CW58" s="21" cm="1">
        <f t="array" aca="1" ref="CW58" ca="1">SUM(INDIRECT(ADDRESS(expenses_min_row, COLUMN()) &amp; ":" &amp; ADDRESS(expenses_max_row, COLUMN())))</f>
        <v>0</v>
      </c>
      <c r="CY58" s="21" cm="1">
        <f t="array" aca="1" ref="CY58" ca="1">SUM(INDIRECT(ADDRESS(expenses_min_row, COLUMN()) &amp; ":" &amp; ADDRESS(expenses_max_row, COLUMN())))</f>
        <v>0</v>
      </c>
      <c r="CZ58" s="21" cm="1">
        <f t="array" aca="1" ref="CZ58" ca="1">SUM(INDIRECT(ADDRESS(expenses_min_row, COLUMN()) &amp; ":" &amp; ADDRESS(expenses_max_row, COLUMN())))</f>
        <v>0</v>
      </c>
      <c r="DA58" s="21" cm="1">
        <f t="array" aca="1" ref="DA58" ca="1">SUM(INDIRECT(ADDRESS(expenses_min_row, COLUMN()) &amp; ":" &amp; ADDRESS(expenses_max_row, COLUMN())))</f>
        <v>0</v>
      </c>
      <c r="DB58" s="21" cm="1">
        <f t="array" aca="1" ref="DB58" ca="1">SUM(INDIRECT(ADDRESS(expenses_min_row, COLUMN()) &amp; ":" &amp; ADDRESS(expenses_max_row, COLUMN())))</f>
        <v>0</v>
      </c>
      <c r="DC58" s="21" cm="1">
        <f t="array" aca="1" ref="DC58" ca="1">SUM(INDIRECT(ADDRESS(expenses_min_row, COLUMN()) &amp; ":" &amp; ADDRESS(expenses_max_row, COLUMN())))</f>
        <v>0</v>
      </c>
      <c r="DD58" s="21" cm="1">
        <f t="array" aca="1" ref="DD58" ca="1">SUM(INDIRECT(ADDRESS(expenses_min_row, COLUMN()) &amp; ":" &amp; ADDRESS(expenses_max_row, COLUMN())))</f>
        <v>0</v>
      </c>
      <c r="DE58" s="21" cm="1">
        <f t="array" aca="1" ref="DE58" ca="1">SUM(INDIRECT(ADDRESS(expenses_min_row, COLUMN()) &amp; ":" &amp; ADDRESS(expenses_max_row, COLUMN())))</f>
        <v>0</v>
      </c>
      <c r="DF58" s="21" cm="1">
        <f t="array" aca="1" ref="DF58" ca="1">SUM(INDIRECT(ADDRESS(expenses_min_row, COLUMN()) &amp; ":" &amp; ADDRESS(expenses_max_row, COLUMN())))</f>
        <v>0</v>
      </c>
      <c r="DG58" s="21" cm="1">
        <f t="array" aca="1" ref="DG58" ca="1">SUM(INDIRECT(ADDRESS(expenses_min_row, COLUMN()) &amp; ":" &amp; ADDRESS(expenses_max_row, COLUMN())))</f>
        <v>0</v>
      </c>
      <c r="DH58" s="21" cm="1">
        <f t="array" aca="1" ref="DH58" ca="1">SUM(INDIRECT(ADDRESS(expenses_min_row, COLUMN()) &amp; ":" &amp; ADDRESS(expenses_max_row, COLUMN())))</f>
        <v>0</v>
      </c>
      <c r="DI58" s="21" cm="1">
        <f t="array" aca="1" ref="DI58" ca="1">SUM(INDIRECT(ADDRESS(expenses_min_row, COLUMN()) &amp; ":" &amp; ADDRESS(expenses_max_row, COLUMN())))</f>
        <v>0</v>
      </c>
      <c r="DJ58" s="21" cm="1">
        <f t="array" aca="1" ref="DJ58" ca="1">SUM(INDIRECT(ADDRESS(expenses_min_row, COLUMN()) &amp; ":" &amp; ADDRESS(expenses_max_row, COLUMN())))</f>
        <v>0</v>
      </c>
      <c r="DK58" s="21" cm="1">
        <f t="array" aca="1" ref="DK58" ca="1">SUM(INDIRECT(ADDRESS(expenses_min_row, COLUMN()) &amp; ":" &amp; ADDRESS(expenses_max_row, COLUMN())))</f>
        <v>0</v>
      </c>
      <c r="DM58" s="21" cm="1">
        <f t="array" aca="1" ref="DM58" ca="1">SUM(INDIRECT(ADDRESS(expenses_min_row, COLUMN()) &amp; ":" &amp; ADDRESS(expenses_max_row, COLUMN())))</f>
        <v>0</v>
      </c>
      <c r="DN58" s="21" cm="1">
        <f t="array" aca="1" ref="DN58" ca="1">SUM(INDIRECT(ADDRESS(expenses_min_row, COLUMN()) &amp; ":" &amp; ADDRESS(expenses_max_row, COLUMN())))</f>
        <v>0</v>
      </c>
      <c r="DO58" s="21" cm="1">
        <f t="array" aca="1" ref="DO58" ca="1">SUM(INDIRECT(ADDRESS(expenses_min_row, COLUMN()) &amp; ":" &amp; ADDRESS(expenses_max_row, COLUMN())))</f>
        <v>0</v>
      </c>
      <c r="DP58" s="21" cm="1">
        <f t="array" aca="1" ref="DP58" ca="1">SUM(INDIRECT(ADDRESS(expenses_min_row, COLUMN()) &amp; ":" &amp; ADDRESS(expenses_max_row, COLUMN())))</f>
        <v>0</v>
      </c>
      <c r="DQ58" s="21" cm="1">
        <f t="array" aca="1" ref="DQ58" ca="1">SUM(INDIRECT(ADDRESS(expenses_min_row, COLUMN()) &amp; ":" &amp; ADDRESS(expenses_max_row, COLUMN())))</f>
        <v>0</v>
      </c>
      <c r="DR58" s="21" cm="1">
        <f t="array" aca="1" ref="DR58" ca="1">SUM(INDIRECT(ADDRESS(expenses_min_row, COLUMN()) &amp; ":" &amp; ADDRESS(expenses_max_row, COLUMN())))</f>
        <v>0</v>
      </c>
      <c r="DS58" s="21" cm="1">
        <f t="array" aca="1" ref="DS58" ca="1">SUM(INDIRECT(ADDRESS(expenses_min_row, COLUMN()) &amp; ":" &amp; ADDRESS(expenses_max_row, COLUMN())))</f>
        <v>0</v>
      </c>
      <c r="DT58" s="21" cm="1">
        <f t="array" aca="1" ref="DT58" ca="1">SUM(INDIRECT(ADDRESS(expenses_min_row, COLUMN()) &amp; ":" &amp; ADDRESS(expenses_max_row, COLUMN())))</f>
        <v>0</v>
      </c>
      <c r="DU58" s="21" cm="1">
        <f t="array" aca="1" ref="DU58" ca="1">SUM(INDIRECT(ADDRESS(expenses_min_row, COLUMN()) &amp; ":" &amp; ADDRESS(expenses_max_row, COLUMN())))</f>
        <v>0</v>
      </c>
      <c r="DV58" s="21" cm="1">
        <f t="array" aca="1" ref="DV58" ca="1">SUM(INDIRECT(ADDRESS(expenses_min_row, COLUMN()) &amp; ":" &amp; ADDRESS(expenses_max_row, COLUMN())))</f>
        <v>0</v>
      </c>
      <c r="DW58" s="21" cm="1">
        <f t="array" aca="1" ref="DW58" ca="1">SUM(INDIRECT(ADDRESS(expenses_min_row, COLUMN()) &amp; ":" &amp; ADDRESS(expenses_max_row, COLUMN())))</f>
        <v>0</v>
      </c>
      <c r="DX58" s="21" cm="1">
        <f t="array" aca="1" ref="DX58" ca="1">SUM(INDIRECT(ADDRESS(expenses_min_row, COLUMN()) &amp; ":" &amp; ADDRESS(expenses_max_row, COLUMN())))</f>
        <v>0</v>
      </c>
      <c r="DY58" s="21" cm="1">
        <f t="array" aca="1" ref="DY58" ca="1">SUM(INDIRECT(ADDRESS(expenses_min_row, COLUMN()) &amp; ":" &amp; ADDRESS(expenses_max_row, COLUMN())))</f>
        <v>0</v>
      </c>
      <c r="EA58" s="21" cm="1">
        <f t="array" aca="1" ref="EA58" ca="1">SUM(INDIRECT(ADDRESS(expenses_min_row, COLUMN()) &amp; ":" &amp; ADDRESS(expenses_max_row, COLUMN())))</f>
        <v>0</v>
      </c>
      <c r="EB58" s="21" cm="1">
        <f t="array" aca="1" ref="EB58" ca="1">SUM(INDIRECT(ADDRESS(expenses_min_row, COLUMN()) &amp; ":" &amp; ADDRESS(expenses_max_row, COLUMN())))</f>
        <v>0</v>
      </c>
      <c r="EC58" s="21" cm="1">
        <f t="array" aca="1" ref="EC58" ca="1">SUM(INDIRECT(ADDRESS(expenses_min_row, COLUMN()) &amp; ":" &amp; ADDRESS(expenses_max_row, COLUMN())))</f>
        <v>0</v>
      </c>
      <c r="ED58" s="21" cm="1">
        <f t="array" aca="1" ref="ED58" ca="1">SUM(INDIRECT(ADDRESS(expenses_min_row, COLUMN()) &amp; ":" &amp; ADDRESS(expenses_max_row, COLUMN())))</f>
        <v>0</v>
      </c>
      <c r="EE58" s="21" cm="1">
        <f t="array" aca="1" ref="EE58" ca="1">SUM(INDIRECT(ADDRESS(expenses_min_row, COLUMN()) &amp; ":" &amp; ADDRESS(expenses_max_row, COLUMN())))</f>
        <v>0</v>
      </c>
      <c r="EF58" s="21" cm="1">
        <f t="array" aca="1" ref="EF58" ca="1">SUM(INDIRECT(ADDRESS(expenses_min_row, COLUMN()) &amp; ":" &amp; ADDRESS(expenses_max_row, COLUMN())))</f>
        <v>0</v>
      </c>
      <c r="EG58" s="21" cm="1">
        <f t="array" aca="1" ref="EG58" ca="1">SUM(INDIRECT(ADDRESS(expenses_min_row, COLUMN()) &amp; ":" &amp; ADDRESS(expenses_max_row, COLUMN())))</f>
        <v>0</v>
      </c>
      <c r="EH58" s="21" cm="1">
        <f t="array" aca="1" ref="EH58" ca="1">SUM(INDIRECT(ADDRESS(expenses_min_row, COLUMN()) &amp; ":" &amp; ADDRESS(expenses_max_row, COLUMN())))</f>
        <v>0</v>
      </c>
      <c r="EI58" s="21" cm="1">
        <f t="array" aca="1" ref="EI58" ca="1">SUM(INDIRECT(ADDRESS(expenses_min_row, COLUMN()) &amp; ":" &amp; ADDRESS(expenses_max_row, COLUMN())))</f>
        <v>0</v>
      </c>
      <c r="EJ58" s="21" cm="1">
        <f t="array" aca="1" ref="EJ58" ca="1">SUM(INDIRECT(ADDRESS(expenses_min_row, COLUMN()) &amp; ":" &amp; ADDRESS(expenses_max_row, COLUMN())))</f>
        <v>0</v>
      </c>
      <c r="EK58" s="21" cm="1">
        <f t="array" aca="1" ref="EK58" ca="1">SUM(INDIRECT(ADDRESS(expenses_min_row, COLUMN()) &amp; ":" &amp; ADDRESS(expenses_max_row, COLUMN())))</f>
        <v>0</v>
      </c>
      <c r="EL58" s="21" cm="1">
        <f t="array" aca="1" ref="EL58" ca="1">SUM(INDIRECT(ADDRESS(expenses_min_row, COLUMN()) &amp; ":" &amp; ADDRESS(expenses_max_row, COLUMN())))</f>
        <v>0</v>
      </c>
      <c r="EM58" s="21" cm="1">
        <f t="array" aca="1" ref="EM58" ca="1">SUM(INDIRECT(ADDRESS(expenses_min_row, COLUMN()) &amp; ":" &amp; ADDRESS(expenses_max_row, COLUMN())))</f>
        <v>0</v>
      </c>
    </row>
    <row r="60" spans="3:143" x14ac:dyDescent="0.2">
      <c r="C60" s="15" t="s">
        <v>15</v>
      </c>
      <c r="E60" s="25">
        <f>DATE(E$5,1,1)</f>
        <v>44562</v>
      </c>
      <c r="F60" s="25">
        <f>DATE(E$5,2,1)</f>
        <v>44593</v>
      </c>
      <c r="G60" s="25">
        <f>DATE(E$5,3,1)</f>
        <v>44621</v>
      </c>
      <c r="H60" s="25">
        <f>DATE(E$5,4,1)</f>
        <v>44652</v>
      </c>
      <c r="I60" s="25">
        <f>DATE(E$5,5,1)</f>
        <v>44682</v>
      </c>
      <c r="J60" s="25">
        <f>DATE(E$5,6,1)</f>
        <v>44713</v>
      </c>
      <c r="K60" s="25">
        <f>DATE(E$5,7,1)</f>
        <v>44743</v>
      </c>
      <c r="L60" s="25">
        <f>DATE(E$5,8,1)</f>
        <v>44774</v>
      </c>
      <c r="M60" s="25">
        <f>DATE(E$5,9,1)</f>
        <v>44805</v>
      </c>
      <c r="N60" s="25">
        <f>DATE(E$5,10,1)</f>
        <v>44835</v>
      </c>
      <c r="O60" s="25">
        <f>DATE(E$5,11,1)</f>
        <v>44866</v>
      </c>
      <c r="P60" s="25">
        <f>DATE(E$5,12,1)</f>
        <v>44896</v>
      </c>
      <c r="Q60" s="26">
        <f>E$5</f>
        <v>2022</v>
      </c>
      <c r="S60" s="25">
        <f>DATE(S$5,1,1)</f>
        <v>44927</v>
      </c>
      <c r="T60" s="25">
        <f>DATE(S$5,2,1)</f>
        <v>44958</v>
      </c>
      <c r="U60" s="25">
        <f>DATE(S$5,3,1)</f>
        <v>44986</v>
      </c>
      <c r="V60" s="25">
        <f>DATE(S$5,4,1)</f>
        <v>45017</v>
      </c>
      <c r="W60" s="25">
        <f>DATE(S$5,5,1)</f>
        <v>45047</v>
      </c>
      <c r="X60" s="25">
        <f>DATE(S$5,6,1)</f>
        <v>45078</v>
      </c>
      <c r="Y60" s="25">
        <f>DATE(S$5,7,1)</f>
        <v>45108</v>
      </c>
      <c r="Z60" s="25">
        <f>DATE(S$5,8,1)</f>
        <v>45139</v>
      </c>
      <c r="AA60" s="25">
        <f>DATE(S$5,9,1)</f>
        <v>45170</v>
      </c>
      <c r="AB60" s="25">
        <f>DATE(S$5,10,1)</f>
        <v>45200</v>
      </c>
      <c r="AC60" s="25">
        <f>DATE(S$5,11,1)</f>
        <v>45231</v>
      </c>
      <c r="AD60" s="25">
        <f>DATE(S$5,12,1)</f>
        <v>45261</v>
      </c>
      <c r="AE60" s="26">
        <f>S$5</f>
        <v>2023</v>
      </c>
      <c r="AG60" s="25">
        <f t="shared" ref="AG60" si="378">DATE(AG$5,1,1)</f>
        <v>45292</v>
      </c>
      <c r="AH60" s="25">
        <f t="shared" ref="AH60" si="379">DATE(AG$5,2,1)</f>
        <v>45323</v>
      </c>
      <c r="AI60" s="25">
        <f t="shared" ref="AI60" si="380">DATE(AG$5,3,1)</f>
        <v>45352</v>
      </c>
      <c r="AJ60" s="25">
        <f t="shared" ref="AJ60" si="381">DATE(AG$5,4,1)</f>
        <v>45383</v>
      </c>
      <c r="AK60" s="25">
        <f t="shared" ref="AK60" si="382">DATE(AG$5,5,1)</f>
        <v>45413</v>
      </c>
      <c r="AL60" s="25">
        <f t="shared" ref="AL60" si="383">DATE(AG$5,6,1)</f>
        <v>45444</v>
      </c>
      <c r="AM60" s="25">
        <f t="shared" ref="AM60" si="384">DATE(AG$5,7,1)</f>
        <v>45474</v>
      </c>
      <c r="AN60" s="25">
        <f t="shared" ref="AN60" si="385">DATE(AG$5,8,1)</f>
        <v>45505</v>
      </c>
      <c r="AO60" s="25">
        <f t="shared" ref="AO60" si="386">DATE(AG$5,9,1)</f>
        <v>45536</v>
      </c>
      <c r="AP60" s="25">
        <f t="shared" ref="AP60" si="387">DATE(AG$5,10,1)</f>
        <v>45566</v>
      </c>
      <c r="AQ60" s="25">
        <f t="shared" ref="AQ60" si="388">DATE(AG$5,11,1)</f>
        <v>45597</v>
      </c>
      <c r="AR60" s="25">
        <f t="shared" ref="AR60" si="389">DATE(AG$5,12,1)</f>
        <v>45627</v>
      </c>
      <c r="AS60" s="26">
        <f t="shared" ref="AS60" si="390">AG$5</f>
        <v>2024</v>
      </c>
      <c r="AU60" s="25">
        <f t="shared" ref="AU60" si="391">DATE(AU$5,1,1)</f>
        <v>45658</v>
      </c>
      <c r="AV60" s="25">
        <f t="shared" ref="AV60" si="392">DATE(AU$5,2,1)</f>
        <v>45689</v>
      </c>
      <c r="AW60" s="25">
        <f t="shared" ref="AW60" si="393">DATE(AU$5,3,1)</f>
        <v>45717</v>
      </c>
      <c r="AX60" s="25">
        <f t="shared" ref="AX60" si="394">DATE(AU$5,4,1)</f>
        <v>45748</v>
      </c>
      <c r="AY60" s="25">
        <f t="shared" ref="AY60" si="395">DATE(AU$5,5,1)</f>
        <v>45778</v>
      </c>
      <c r="AZ60" s="25">
        <f t="shared" ref="AZ60" si="396">DATE(AU$5,6,1)</f>
        <v>45809</v>
      </c>
      <c r="BA60" s="25">
        <f t="shared" ref="BA60" si="397">DATE(AU$5,7,1)</f>
        <v>45839</v>
      </c>
      <c r="BB60" s="25">
        <f t="shared" ref="BB60" si="398">DATE(AU$5,8,1)</f>
        <v>45870</v>
      </c>
      <c r="BC60" s="25">
        <f t="shared" ref="BC60" si="399">DATE(AU$5,9,1)</f>
        <v>45901</v>
      </c>
      <c r="BD60" s="25">
        <f t="shared" ref="BD60" si="400">DATE(AU$5,10,1)</f>
        <v>45931</v>
      </c>
      <c r="BE60" s="25">
        <f t="shared" ref="BE60" si="401">DATE(AU$5,11,1)</f>
        <v>45962</v>
      </c>
      <c r="BF60" s="25">
        <f t="shared" ref="BF60" si="402">DATE(AU$5,12,1)</f>
        <v>45992</v>
      </c>
      <c r="BG60" s="26">
        <f t="shared" ref="BG60" si="403">AU$5</f>
        <v>2025</v>
      </c>
      <c r="BI60" s="25">
        <f t="shared" ref="BI60" si="404">DATE(BI$5,1,1)</f>
        <v>46023</v>
      </c>
      <c r="BJ60" s="25">
        <f t="shared" ref="BJ60" si="405">DATE(BI$5,2,1)</f>
        <v>46054</v>
      </c>
      <c r="BK60" s="25">
        <f t="shared" ref="BK60" si="406">DATE(BI$5,3,1)</f>
        <v>46082</v>
      </c>
      <c r="BL60" s="25">
        <f t="shared" ref="BL60" si="407">DATE(BI$5,4,1)</f>
        <v>46113</v>
      </c>
      <c r="BM60" s="25">
        <f t="shared" ref="BM60" si="408">DATE(BI$5,5,1)</f>
        <v>46143</v>
      </c>
      <c r="BN60" s="25">
        <f t="shared" ref="BN60" si="409">DATE(BI$5,6,1)</f>
        <v>46174</v>
      </c>
      <c r="BO60" s="25">
        <f t="shared" ref="BO60" si="410">DATE(BI$5,7,1)</f>
        <v>46204</v>
      </c>
      <c r="BP60" s="25">
        <f t="shared" ref="BP60" si="411">DATE(BI$5,8,1)</f>
        <v>46235</v>
      </c>
      <c r="BQ60" s="25">
        <f t="shared" ref="BQ60" si="412">DATE(BI$5,9,1)</f>
        <v>46266</v>
      </c>
      <c r="BR60" s="25">
        <f t="shared" ref="BR60" si="413">DATE(BI$5,10,1)</f>
        <v>46296</v>
      </c>
      <c r="BS60" s="25">
        <f t="shared" ref="BS60" si="414">DATE(BI$5,11,1)</f>
        <v>46327</v>
      </c>
      <c r="BT60" s="25">
        <f t="shared" ref="BT60" si="415">DATE(BI$5,12,1)</f>
        <v>46357</v>
      </c>
      <c r="BU60" s="26">
        <f t="shared" ref="BU60" si="416">BI$5</f>
        <v>2026</v>
      </c>
      <c r="BW60" s="25">
        <f t="shared" ref="BW60" si="417">DATE(BW$5,1,1)</f>
        <v>46388</v>
      </c>
      <c r="BX60" s="25">
        <f t="shared" ref="BX60" si="418">DATE(BW$5,2,1)</f>
        <v>46419</v>
      </c>
      <c r="BY60" s="25">
        <f t="shared" ref="BY60" si="419">DATE(BW$5,3,1)</f>
        <v>46447</v>
      </c>
      <c r="BZ60" s="25">
        <f t="shared" ref="BZ60" si="420">DATE(BW$5,4,1)</f>
        <v>46478</v>
      </c>
      <c r="CA60" s="25">
        <f t="shared" ref="CA60" si="421">DATE(BW$5,5,1)</f>
        <v>46508</v>
      </c>
      <c r="CB60" s="25">
        <f t="shared" ref="CB60" si="422">DATE(BW$5,6,1)</f>
        <v>46539</v>
      </c>
      <c r="CC60" s="25">
        <f t="shared" ref="CC60" si="423">DATE(BW$5,7,1)</f>
        <v>46569</v>
      </c>
      <c r="CD60" s="25">
        <f t="shared" ref="CD60" si="424">DATE(BW$5,8,1)</f>
        <v>46600</v>
      </c>
      <c r="CE60" s="25">
        <f t="shared" ref="CE60" si="425">DATE(BW$5,9,1)</f>
        <v>46631</v>
      </c>
      <c r="CF60" s="25">
        <f t="shared" ref="CF60" si="426">DATE(BW$5,10,1)</f>
        <v>46661</v>
      </c>
      <c r="CG60" s="25">
        <f t="shared" ref="CG60" si="427">DATE(BW$5,11,1)</f>
        <v>46692</v>
      </c>
      <c r="CH60" s="25">
        <f t="shared" ref="CH60" si="428">DATE(BW$5,12,1)</f>
        <v>46722</v>
      </c>
      <c r="CI60" s="26">
        <f t="shared" ref="CI60" si="429">BW$5</f>
        <v>2027</v>
      </c>
      <c r="CK60" s="25">
        <f t="shared" ref="CK60" si="430">DATE(CK$5,1,1)</f>
        <v>46753</v>
      </c>
      <c r="CL60" s="25">
        <f t="shared" ref="CL60" si="431">DATE(CK$5,2,1)</f>
        <v>46784</v>
      </c>
      <c r="CM60" s="25">
        <f t="shared" ref="CM60" si="432">DATE(CK$5,3,1)</f>
        <v>46813</v>
      </c>
      <c r="CN60" s="25">
        <f t="shared" ref="CN60" si="433">DATE(CK$5,4,1)</f>
        <v>46844</v>
      </c>
      <c r="CO60" s="25">
        <f t="shared" ref="CO60" si="434">DATE(CK$5,5,1)</f>
        <v>46874</v>
      </c>
      <c r="CP60" s="25">
        <f t="shared" ref="CP60" si="435">DATE(CK$5,6,1)</f>
        <v>46905</v>
      </c>
      <c r="CQ60" s="25">
        <f t="shared" ref="CQ60" si="436">DATE(CK$5,7,1)</f>
        <v>46935</v>
      </c>
      <c r="CR60" s="25">
        <f t="shared" ref="CR60" si="437">DATE(CK$5,8,1)</f>
        <v>46966</v>
      </c>
      <c r="CS60" s="25">
        <f t="shared" ref="CS60" si="438">DATE(CK$5,9,1)</f>
        <v>46997</v>
      </c>
      <c r="CT60" s="25">
        <f t="shared" ref="CT60" si="439">DATE(CK$5,10,1)</f>
        <v>47027</v>
      </c>
      <c r="CU60" s="25">
        <f t="shared" ref="CU60" si="440">DATE(CK$5,11,1)</f>
        <v>47058</v>
      </c>
      <c r="CV60" s="25">
        <f t="shared" ref="CV60" si="441">DATE(CK$5,12,1)</f>
        <v>47088</v>
      </c>
      <c r="CW60" s="26">
        <f t="shared" ref="CW60" si="442">CK$5</f>
        <v>2028</v>
      </c>
      <c r="CY60" s="25">
        <f t="shared" ref="CY60" si="443">DATE(CY$5,1,1)</f>
        <v>47119</v>
      </c>
      <c r="CZ60" s="25">
        <f t="shared" ref="CZ60" si="444">DATE(CY$5,2,1)</f>
        <v>47150</v>
      </c>
      <c r="DA60" s="25">
        <f t="shared" ref="DA60" si="445">DATE(CY$5,3,1)</f>
        <v>47178</v>
      </c>
      <c r="DB60" s="25">
        <f t="shared" ref="DB60" si="446">DATE(CY$5,4,1)</f>
        <v>47209</v>
      </c>
      <c r="DC60" s="25">
        <f t="shared" ref="DC60" si="447">DATE(CY$5,5,1)</f>
        <v>47239</v>
      </c>
      <c r="DD60" s="25">
        <f t="shared" ref="DD60" si="448">DATE(CY$5,6,1)</f>
        <v>47270</v>
      </c>
      <c r="DE60" s="25">
        <f t="shared" ref="DE60" si="449">DATE(CY$5,7,1)</f>
        <v>47300</v>
      </c>
      <c r="DF60" s="25">
        <f t="shared" ref="DF60" si="450">DATE(CY$5,8,1)</f>
        <v>47331</v>
      </c>
      <c r="DG60" s="25">
        <f t="shared" ref="DG60" si="451">DATE(CY$5,9,1)</f>
        <v>47362</v>
      </c>
      <c r="DH60" s="25">
        <f t="shared" ref="DH60" si="452">DATE(CY$5,10,1)</f>
        <v>47392</v>
      </c>
      <c r="DI60" s="25">
        <f t="shared" ref="DI60" si="453">DATE(CY$5,11,1)</f>
        <v>47423</v>
      </c>
      <c r="DJ60" s="25">
        <f t="shared" ref="DJ60" si="454">DATE(CY$5,12,1)</f>
        <v>47453</v>
      </c>
      <c r="DK60" s="26">
        <f t="shared" ref="DK60" si="455">CY$5</f>
        <v>2029</v>
      </c>
      <c r="DM60" s="25">
        <f t="shared" ref="DM60" si="456">DATE(DM$5,1,1)</f>
        <v>47484</v>
      </c>
      <c r="DN60" s="25">
        <f t="shared" ref="DN60" si="457">DATE(DM$5,2,1)</f>
        <v>47515</v>
      </c>
      <c r="DO60" s="25">
        <f t="shared" ref="DO60" si="458">DATE(DM$5,3,1)</f>
        <v>47543</v>
      </c>
      <c r="DP60" s="25">
        <f t="shared" ref="DP60" si="459">DATE(DM$5,4,1)</f>
        <v>47574</v>
      </c>
      <c r="DQ60" s="25">
        <f t="shared" ref="DQ60" si="460">DATE(DM$5,5,1)</f>
        <v>47604</v>
      </c>
      <c r="DR60" s="25">
        <f t="shared" ref="DR60" si="461">DATE(DM$5,6,1)</f>
        <v>47635</v>
      </c>
      <c r="DS60" s="25">
        <f t="shared" ref="DS60" si="462">DATE(DM$5,7,1)</f>
        <v>47665</v>
      </c>
      <c r="DT60" s="25">
        <f t="shared" ref="DT60" si="463">DATE(DM$5,8,1)</f>
        <v>47696</v>
      </c>
      <c r="DU60" s="25">
        <f t="shared" ref="DU60" si="464">DATE(DM$5,9,1)</f>
        <v>47727</v>
      </c>
      <c r="DV60" s="25">
        <f t="shared" ref="DV60" si="465">DATE(DM$5,10,1)</f>
        <v>47757</v>
      </c>
      <c r="DW60" s="25">
        <f t="shared" ref="DW60" si="466">DATE(DM$5,11,1)</f>
        <v>47788</v>
      </c>
      <c r="DX60" s="25">
        <f t="shared" ref="DX60" si="467">DATE(DM$5,12,1)</f>
        <v>47818</v>
      </c>
      <c r="DY60" s="26">
        <f t="shared" ref="DY60" si="468">DM$5</f>
        <v>2030</v>
      </c>
      <c r="EA60" s="25">
        <f t="shared" ref="EA60" si="469">DATE(EA$5,1,1)</f>
        <v>47849</v>
      </c>
      <c r="EB60" s="25">
        <f t="shared" ref="EB60" si="470">DATE(EA$5,2,1)</f>
        <v>47880</v>
      </c>
      <c r="EC60" s="25">
        <f t="shared" ref="EC60" si="471">DATE(EA$5,3,1)</f>
        <v>47908</v>
      </c>
      <c r="ED60" s="25">
        <f t="shared" ref="ED60" si="472">DATE(EA$5,4,1)</f>
        <v>47939</v>
      </c>
      <c r="EE60" s="25">
        <f t="shared" ref="EE60" si="473">DATE(EA$5,5,1)</f>
        <v>47969</v>
      </c>
      <c r="EF60" s="25">
        <f t="shared" ref="EF60" si="474">DATE(EA$5,6,1)</f>
        <v>48000</v>
      </c>
      <c r="EG60" s="25">
        <f t="shared" ref="EG60" si="475">DATE(EA$5,7,1)</f>
        <v>48030</v>
      </c>
      <c r="EH60" s="25">
        <f t="shared" ref="EH60" si="476">DATE(EA$5,8,1)</f>
        <v>48061</v>
      </c>
      <c r="EI60" s="25">
        <f t="shared" ref="EI60" si="477">DATE(EA$5,9,1)</f>
        <v>48092</v>
      </c>
      <c r="EJ60" s="25">
        <f t="shared" ref="EJ60" si="478">DATE(EA$5,10,1)</f>
        <v>48122</v>
      </c>
      <c r="EK60" s="25">
        <f t="shared" ref="EK60" si="479">DATE(EA$5,11,1)</f>
        <v>48153</v>
      </c>
      <c r="EL60" s="25">
        <f t="shared" ref="EL60" si="480">DATE(EA$5,12,1)</f>
        <v>48183</v>
      </c>
      <c r="EM60" s="26">
        <f t="shared" ref="EM60" si="481">EA$5</f>
        <v>2031</v>
      </c>
    </row>
    <row r="61" spans="3:143" x14ac:dyDescent="0.2">
      <c r="C61" s="19" t="s">
        <v>16</v>
      </c>
      <c r="E61" s="20"/>
      <c r="F61" s="20"/>
      <c r="G61" s="20"/>
      <c r="H61" s="20"/>
      <c r="I61" s="20"/>
      <c r="J61" s="20"/>
      <c r="K61" s="20"/>
      <c r="L61" s="20"/>
      <c r="M61" s="20"/>
      <c r="N61" s="20"/>
      <c r="O61" s="20"/>
      <c r="P61" s="20"/>
      <c r="Q61" s="22">
        <f>SUM(E61:P61)</f>
        <v>0</v>
      </c>
      <c r="S61" s="20"/>
      <c r="T61" s="20"/>
      <c r="U61" s="20"/>
      <c r="V61" s="20"/>
      <c r="W61" s="20"/>
      <c r="X61" s="20"/>
      <c r="Y61" s="20"/>
      <c r="Z61" s="20"/>
      <c r="AA61" s="20"/>
      <c r="AB61" s="20"/>
      <c r="AC61" s="20"/>
      <c r="AD61" s="20"/>
      <c r="AE61" s="22">
        <f>SUM(S61:AD61)</f>
        <v>0</v>
      </c>
      <c r="AG61" s="20"/>
      <c r="AH61" s="20"/>
      <c r="AI61" s="20"/>
      <c r="AJ61" s="20"/>
      <c r="AK61" s="20"/>
      <c r="AL61" s="20"/>
      <c r="AM61" s="20"/>
      <c r="AN61" s="20"/>
      <c r="AO61" s="20"/>
      <c r="AP61" s="20"/>
      <c r="AQ61" s="20"/>
      <c r="AR61" s="20"/>
      <c r="AS61" s="22">
        <f t="shared" ref="AS61" si="482">SUM(AG61:AR61)</f>
        <v>0</v>
      </c>
      <c r="AU61" s="20"/>
      <c r="AV61" s="20"/>
      <c r="AW61" s="20"/>
      <c r="AX61" s="20"/>
      <c r="AY61" s="20"/>
      <c r="AZ61" s="20"/>
      <c r="BA61" s="20"/>
      <c r="BB61" s="20"/>
      <c r="BC61" s="20"/>
      <c r="BD61" s="20"/>
      <c r="BE61" s="20"/>
      <c r="BF61" s="20"/>
      <c r="BG61" s="22">
        <f t="shared" ref="BG61" si="483">SUM(AU61:BF61)</f>
        <v>0</v>
      </c>
      <c r="BI61" s="20"/>
      <c r="BJ61" s="20"/>
      <c r="BK61" s="20"/>
      <c r="BL61" s="20"/>
      <c r="BM61" s="20"/>
      <c r="BN61" s="20"/>
      <c r="BO61" s="20"/>
      <c r="BP61" s="20"/>
      <c r="BQ61" s="20"/>
      <c r="BR61" s="20"/>
      <c r="BS61" s="20"/>
      <c r="BT61" s="20"/>
      <c r="BU61" s="22">
        <f t="shared" ref="BU61" si="484">SUM(BI61:BT61)</f>
        <v>0</v>
      </c>
      <c r="BW61" s="20"/>
      <c r="BX61" s="20"/>
      <c r="BY61" s="20"/>
      <c r="BZ61" s="20"/>
      <c r="CA61" s="20"/>
      <c r="CB61" s="20"/>
      <c r="CC61" s="20"/>
      <c r="CD61" s="20"/>
      <c r="CE61" s="20"/>
      <c r="CF61" s="20"/>
      <c r="CG61" s="20"/>
      <c r="CH61" s="20"/>
      <c r="CI61" s="22">
        <f t="shared" ref="CI61" si="485">SUM(BW61:CH61)</f>
        <v>0</v>
      </c>
      <c r="CK61" s="20"/>
      <c r="CL61" s="20"/>
      <c r="CM61" s="20"/>
      <c r="CN61" s="20"/>
      <c r="CO61" s="20"/>
      <c r="CP61" s="20"/>
      <c r="CQ61" s="20"/>
      <c r="CR61" s="20"/>
      <c r="CS61" s="20"/>
      <c r="CT61" s="20"/>
      <c r="CU61" s="20"/>
      <c r="CV61" s="20"/>
      <c r="CW61" s="22">
        <f t="shared" ref="CW61" si="486">SUM(CK61:CV61)</f>
        <v>0</v>
      </c>
      <c r="CY61" s="20"/>
      <c r="CZ61" s="20"/>
      <c r="DA61" s="20"/>
      <c r="DB61" s="20"/>
      <c r="DC61" s="20"/>
      <c r="DD61" s="20"/>
      <c r="DE61" s="20"/>
      <c r="DF61" s="20"/>
      <c r="DG61" s="20"/>
      <c r="DH61" s="20"/>
      <c r="DI61" s="20"/>
      <c r="DJ61" s="20"/>
      <c r="DK61" s="22">
        <f t="shared" ref="DK61" si="487">SUM(CY61:DJ61)</f>
        <v>0</v>
      </c>
      <c r="DM61" s="20"/>
      <c r="DN61" s="20"/>
      <c r="DO61" s="20"/>
      <c r="DP61" s="20"/>
      <c r="DQ61" s="20"/>
      <c r="DR61" s="20"/>
      <c r="DS61" s="20"/>
      <c r="DT61" s="20"/>
      <c r="DU61" s="20"/>
      <c r="DV61" s="20"/>
      <c r="DW61" s="20"/>
      <c r="DX61" s="20"/>
      <c r="DY61" s="22">
        <f t="shared" ref="DY61" si="488">SUM(DM61:DX61)</f>
        <v>0</v>
      </c>
      <c r="EA61" s="20"/>
      <c r="EB61" s="20"/>
      <c r="EC61" s="20"/>
      <c r="ED61" s="20"/>
      <c r="EE61" s="20"/>
      <c r="EF61" s="20"/>
      <c r="EG61" s="20"/>
      <c r="EH61" s="20"/>
      <c r="EI61" s="20"/>
      <c r="EJ61" s="20"/>
      <c r="EK61" s="20"/>
      <c r="EL61" s="20"/>
      <c r="EM61" s="22">
        <f t="shared" ref="EM61" si="489">SUM(EA61:EL61)</f>
        <v>0</v>
      </c>
    </row>
    <row r="62" spans="3:143" x14ac:dyDescent="0.2">
      <c r="C62" s="19" t="s">
        <v>16</v>
      </c>
      <c r="E62" s="20"/>
      <c r="F62" s="20"/>
      <c r="G62" s="20"/>
      <c r="H62" s="20"/>
      <c r="I62" s="20"/>
      <c r="J62" s="20"/>
      <c r="K62" s="20"/>
      <c r="L62" s="20"/>
      <c r="M62" s="20"/>
      <c r="N62" s="20"/>
      <c r="O62" s="20"/>
      <c r="P62" s="20"/>
      <c r="Q62" s="22">
        <f t="shared" ref="Q62:Q70" si="490">SUM(E62:P62)</f>
        <v>0</v>
      </c>
      <c r="S62" s="20"/>
      <c r="T62" s="20"/>
      <c r="U62" s="20"/>
      <c r="V62" s="20"/>
      <c r="W62" s="20"/>
      <c r="X62" s="20"/>
      <c r="Y62" s="20"/>
      <c r="Z62" s="20"/>
      <c r="AA62" s="20"/>
      <c r="AB62" s="20"/>
      <c r="AC62" s="20"/>
      <c r="AD62" s="20"/>
      <c r="AE62" s="22">
        <f t="shared" ref="AE62:AE70" si="491">SUM(S62:AD62)</f>
        <v>0</v>
      </c>
      <c r="AG62" s="20"/>
      <c r="AH62" s="20"/>
      <c r="AI62" s="20"/>
      <c r="AJ62" s="20"/>
      <c r="AK62" s="20"/>
      <c r="AL62" s="20"/>
      <c r="AM62" s="20"/>
      <c r="AN62" s="20"/>
      <c r="AO62" s="20"/>
      <c r="AP62" s="20"/>
      <c r="AQ62" s="20"/>
      <c r="AR62" s="20"/>
      <c r="AS62" s="22">
        <f t="shared" ref="AS62:AS70" si="492">SUM(AG62:AR62)</f>
        <v>0</v>
      </c>
      <c r="AU62" s="20"/>
      <c r="AV62" s="20"/>
      <c r="AW62" s="20"/>
      <c r="AX62" s="20"/>
      <c r="AY62" s="20"/>
      <c r="AZ62" s="20"/>
      <c r="BA62" s="20"/>
      <c r="BB62" s="20"/>
      <c r="BC62" s="20"/>
      <c r="BD62" s="20"/>
      <c r="BE62" s="20"/>
      <c r="BF62" s="20"/>
      <c r="BG62" s="22">
        <f t="shared" ref="BG62:BG70" si="493">SUM(AU62:BF62)</f>
        <v>0</v>
      </c>
      <c r="BI62" s="20"/>
      <c r="BJ62" s="20"/>
      <c r="BK62" s="20"/>
      <c r="BL62" s="20"/>
      <c r="BM62" s="20"/>
      <c r="BN62" s="20"/>
      <c r="BO62" s="20"/>
      <c r="BP62" s="20"/>
      <c r="BQ62" s="20"/>
      <c r="BR62" s="20"/>
      <c r="BS62" s="20"/>
      <c r="BT62" s="20"/>
      <c r="BU62" s="22">
        <f t="shared" ref="BU62:BU70" si="494">SUM(BI62:BT62)</f>
        <v>0</v>
      </c>
      <c r="BW62" s="20"/>
      <c r="BX62" s="20"/>
      <c r="BY62" s="20"/>
      <c r="BZ62" s="20"/>
      <c r="CA62" s="20"/>
      <c r="CB62" s="20"/>
      <c r="CC62" s="20"/>
      <c r="CD62" s="20"/>
      <c r="CE62" s="20"/>
      <c r="CF62" s="20"/>
      <c r="CG62" s="20"/>
      <c r="CH62" s="20"/>
      <c r="CI62" s="22">
        <f t="shared" ref="CI62:CI70" si="495">SUM(BW62:CH62)</f>
        <v>0</v>
      </c>
      <c r="CK62" s="20"/>
      <c r="CL62" s="20"/>
      <c r="CM62" s="20"/>
      <c r="CN62" s="20"/>
      <c r="CO62" s="20"/>
      <c r="CP62" s="20"/>
      <c r="CQ62" s="20"/>
      <c r="CR62" s="20"/>
      <c r="CS62" s="20"/>
      <c r="CT62" s="20"/>
      <c r="CU62" s="20"/>
      <c r="CV62" s="20"/>
      <c r="CW62" s="22">
        <f t="shared" ref="CW62:CW70" si="496">SUM(CK62:CV62)</f>
        <v>0</v>
      </c>
      <c r="CY62" s="20"/>
      <c r="CZ62" s="20"/>
      <c r="DA62" s="20"/>
      <c r="DB62" s="20"/>
      <c r="DC62" s="20"/>
      <c r="DD62" s="20"/>
      <c r="DE62" s="20"/>
      <c r="DF62" s="20"/>
      <c r="DG62" s="20"/>
      <c r="DH62" s="20"/>
      <c r="DI62" s="20"/>
      <c r="DJ62" s="20"/>
      <c r="DK62" s="22">
        <f t="shared" ref="DK62:DK70" si="497">SUM(CY62:DJ62)</f>
        <v>0</v>
      </c>
      <c r="DM62" s="20"/>
      <c r="DN62" s="20"/>
      <c r="DO62" s="20"/>
      <c r="DP62" s="20"/>
      <c r="DQ62" s="20"/>
      <c r="DR62" s="20"/>
      <c r="DS62" s="20"/>
      <c r="DT62" s="20"/>
      <c r="DU62" s="20"/>
      <c r="DV62" s="20"/>
      <c r="DW62" s="20"/>
      <c r="DX62" s="20"/>
      <c r="DY62" s="22">
        <f t="shared" ref="DY62:DY70" si="498">SUM(DM62:DX62)</f>
        <v>0</v>
      </c>
      <c r="EA62" s="20"/>
      <c r="EB62" s="20"/>
      <c r="EC62" s="20"/>
      <c r="ED62" s="20"/>
      <c r="EE62" s="20"/>
      <c r="EF62" s="20"/>
      <c r="EG62" s="20"/>
      <c r="EH62" s="20"/>
      <c r="EI62" s="20"/>
      <c r="EJ62" s="20"/>
      <c r="EK62" s="20"/>
      <c r="EL62" s="20"/>
      <c r="EM62" s="22">
        <f t="shared" ref="EM62:EM70" si="499">SUM(EA62:EL62)</f>
        <v>0</v>
      </c>
    </row>
    <row r="63" spans="3:143" x14ac:dyDescent="0.2">
      <c r="C63" s="19" t="s">
        <v>16</v>
      </c>
      <c r="E63" s="20"/>
      <c r="F63" s="20"/>
      <c r="G63" s="20"/>
      <c r="H63" s="20"/>
      <c r="I63" s="20"/>
      <c r="J63" s="20"/>
      <c r="K63" s="20"/>
      <c r="L63" s="20"/>
      <c r="M63" s="20"/>
      <c r="N63" s="20"/>
      <c r="O63" s="20"/>
      <c r="P63" s="20"/>
      <c r="Q63" s="22">
        <f t="shared" si="490"/>
        <v>0</v>
      </c>
      <c r="S63" s="20"/>
      <c r="T63" s="20"/>
      <c r="U63" s="20"/>
      <c r="V63" s="20"/>
      <c r="W63" s="20"/>
      <c r="X63" s="20"/>
      <c r="Y63" s="20"/>
      <c r="Z63" s="20"/>
      <c r="AA63" s="20"/>
      <c r="AB63" s="20"/>
      <c r="AC63" s="20"/>
      <c r="AD63" s="20"/>
      <c r="AE63" s="22">
        <f t="shared" si="491"/>
        <v>0</v>
      </c>
      <c r="AG63" s="20"/>
      <c r="AH63" s="20"/>
      <c r="AI63" s="20"/>
      <c r="AJ63" s="20"/>
      <c r="AK63" s="20"/>
      <c r="AL63" s="20"/>
      <c r="AM63" s="20"/>
      <c r="AN63" s="20"/>
      <c r="AO63" s="20"/>
      <c r="AP63" s="20"/>
      <c r="AQ63" s="20"/>
      <c r="AR63" s="20"/>
      <c r="AS63" s="22">
        <f t="shared" si="492"/>
        <v>0</v>
      </c>
      <c r="AU63" s="20"/>
      <c r="AV63" s="20"/>
      <c r="AW63" s="20"/>
      <c r="AX63" s="20"/>
      <c r="AY63" s="20"/>
      <c r="AZ63" s="20"/>
      <c r="BA63" s="20"/>
      <c r="BB63" s="20"/>
      <c r="BC63" s="20"/>
      <c r="BD63" s="20"/>
      <c r="BE63" s="20"/>
      <c r="BF63" s="20"/>
      <c r="BG63" s="22">
        <f t="shared" si="493"/>
        <v>0</v>
      </c>
      <c r="BI63" s="20"/>
      <c r="BJ63" s="20"/>
      <c r="BK63" s="20"/>
      <c r="BL63" s="20"/>
      <c r="BM63" s="20"/>
      <c r="BN63" s="20"/>
      <c r="BO63" s="20"/>
      <c r="BP63" s="20"/>
      <c r="BQ63" s="20"/>
      <c r="BR63" s="20"/>
      <c r="BS63" s="20"/>
      <c r="BT63" s="20"/>
      <c r="BU63" s="22">
        <f t="shared" si="494"/>
        <v>0</v>
      </c>
      <c r="BW63" s="20"/>
      <c r="BX63" s="20"/>
      <c r="BY63" s="20"/>
      <c r="BZ63" s="20"/>
      <c r="CA63" s="20"/>
      <c r="CB63" s="20"/>
      <c r="CC63" s="20"/>
      <c r="CD63" s="20"/>
      <c r="CE63" s="20"/>
      <c r="CF63" s="20"/>
      <c r="CG63" s="20"/>
      <c r="CH63" s="20"/>
      <c r="CI63" s="22">
        <f t="shared" si="495"/>
        <v>0</v>
      </c>
      <c r="CK63" s="20"/>
      <c r="CL63" s="20"/>
      <c r="CM63" s="20"/>
      <c r="CN63" s="20"/>
      <c r="CO63" s="20"/>
      <c r="CP63" s="20"/>
      <c r="CQ63" s="20"/>
      <c r="CR63" s="20"/>
      <c r="CS63" s="20"/>
      <c r="CT63" s="20"/>
      <c r="CU63" s="20"/>
      <c r="CV63" s="20"/>
      <c r="CW63" s="22">
        <f t="shared" si="496"/>
        <v>0</v>
      </c>
      <c r="CY63" s="20"/>
      <c r="CZ63" s="20"/>
      <c r="DA63" s="20"/>
      <c r="DB63" s="20"/>
      <c r="DC63" s="20"/>
      <c r="DD63" s="20"/>
      <c r="DE63" s="20"/>
      <c r="DF63" s="20"/>
      <c r="DG63" s="20"/>
      <c r="DH63" s="20"/>
      <c r="DI63" s="20"/>
      <c r="DJ63" s="20"/>
      <c r="DK63" s="22">
        <f t="shared" si="497"/>
        <v>0</v>
      </c>
      <c r="DM63" s="20"/>
      <c r="DN63" s="20"/>
      <c r="DO63" s="20"/>
      <c r="DP63" s="20"/>
      <c r="DQ63" s="20"/>
      <c r="DR63" s="20"/>
      <c r="DS63" s="20"/>
      <c r="DT63" s="20"/>
      <c r="DU63" s="20"/>
      <c r="DV63" s="20"/>
      <c r="DW63" s="20"/>
      <c r="DX63" s="20"/>
      <c r="DY63" s="22">
        <f t="shared" si="498"/>
        <v>0</v>
      </c>
      <c r="EA63" s="20"/>
      <c r="EB63" s="20"/>
      <c r="EC63" s="20"/>
      <c r="ED63" s="20"/>
      <c r="EE63" s="20"/>
      <c r="EF63" s="20"/>
      <c r="EG63" s="20"/>
      <c r="EH63" s="20"/>
      <c r="EI63" s="20"/>
      <c r="EJ63" s="20"/>
      <c r="EK63" s="20"/>
      <c r="EL63" s="20"/>
      <c r="EM63" s="22">
        <f t="shared" si="499"/>
        <v>0</v>
      </c>
    </row>
    <row r="64" spans="3:143" x14ac:dyDescent="0.2">
      <c r="C64" s="19" t="s">
        <v>16</v>
      </c>
      <c r="E64" s="20"/>
      <c r="F64" s="20"/>
      <c r="G64" s="20"/>
      <c r="H64" s="20"/>
      <c r="I64" s="20"/>
      <c r="J64" s="20"/>
      <c r="K64" s="20"/>
      <c r="L64" s="20"/>
      <c r="M64" s="20"/>
      <c r="N64" s="20"/>
      <c r="O64" s="20"/>
      <c r="P64" s="20"/>
      <c r="Q64" s="22">
        <f t="shared" si="490"/>
        <v>0</v>
      </c>
      <c r="S64" s="20"/>
      <c r="T64" s="20"/>
      <c r="U64" s="20"/>
      <c r="V64" s="20"/>
      <c r="W64" s="20"/>
      <c r="X64" s="20"/>
      <c r="Y64" s="20"/>
      <c r="Z64" s="20"/>
      <c r="AA64" s="20"/>
      <c r="AB64" s="20"/>
      <c r="AC64" s="20"/>
      <c r="AD64" s="20"/>
      <c r="AE64" s="22">
        <f t="shared" si="491"/>
        <v>0</v>
      </c>
      <c r="AG64" s="20"/>
      <c r="AH64" s="20"/>
      <c r="AI64" s="20"/>
      <c r="AJ64" s="20"/>
      <c r="AK64" s="20"/>
      <c r="AL64" s="20"/>
      <c r="AM64" s="20"/>
      <c r="AN64" s="20"/>
      <c r="AO64" s="20"/>
      <c r="AP64" s="20"/>
      <c r="AQ64" s="20"/>
      <c r="AR64" s="20"/>
      <c r="AS64" s="22">
        <f t="shared" si="492"/>
        <v>0</v>
      </c>
      <c r="AU64" s="20"/>
      <c r="AV64" s="20"/>
      <c r="AW64" s="20"/>
      <c r="AX64" s="20"/>
      <c r="AY64" s="20"/>
      <c r="AZ64" s="20"/>
      <c r="BA64" s="20"/>
      <c r="BB64" s="20"/>
      <c r="BC64" s="20"/>
      <c r="BD64" s="20"/>
      <c r="BE64" s="20"/>
      <c r="BF64" s="20"/>
      <c r="BG64" s="22">
        <f t="shared" si="493"/>
        <v>0</v>
      </c>
      <c r="BI64" s="20"/>
      <c r="BJ64" s="20"/>
      <c r="BK64" s="20"/>
      <c r="BL64" s="20"/>
      <c r="BM64" s="20"/>
      <c r="BN64" s="20"/>
      <c r="BO64" s="20"/>
      <c r="BP64" s="20"/>
      <c r="BQ64" s="20"/>
      <c r="BR64" s="20"/>
      <c r="BS64" s="20"/>
      <c r="BT64" s="20"/>
      <c r="BU64" s="22">
        <f t="shared" si="494"/>
        <v>0</v>
      </c>
      <c r="BW64" s="20"/>
      <c r="BX64" s="20"/>
      <c r="BY64" s="20"/>
      <c r="BZ64" s="20"/>
      <c r="CA64" s="20"/>
      <c r="CB64" s="20"/>
      <c r="CC64" s="20"/>
      <c r="CD64" s="20"/>
      <c r="CE64" s="20"/>
      <c r="CF64" s="20"/>
      <c r="CG64" s="20"/>
      <c r="CH64" s="20"/>
      <c r="CI64" s="22">
        <f t="shared" si="495"/>
        <v>0</v>
      </c>
      <c r="CK64" s="20"/>
      <c r="CL64" s="20"/>
      <c r="CM64" s="20"/>
      <c r="CN64" s="20"/>
      <c r="CO64" s="20"/>
      <c r="CP64" s="20"/>
      <c r="CQ64" s="20"/>
      <c r="CR64" s="20"/>
      <c r="CS64" s="20"/>
      <c r="CT64" s="20"/>
      <c r="CU64" s="20"/>
      <c r="CV64" s="20"/>
      <c r="CW64" s="22">
        <f t="shared" si="496"/>
        <v>0</v>
      </c>
      <c r="CY64" s="20"/>
      <c r="CZ64" s="20"/>
      <c r="DA64" s="20"/>
      <c r="DB64" s="20"/>
      <c r="DC64" s="20"/>
      <c r="DD64" s="20"/>
      <c r="DE64" s="20"/>
      <c r="DF64" s="20"/>
      <c r="DG64" s="20"/>
      <c r="DH64" s="20"/>
      <c r="DI64" s="20"/>
      <c r="DJ64" s="20"/>
      <c r="DK64" s="22">
        <f t="shared" si="497"/>
        <v>0</v>
      </c>
      <c r="DM64" s="20"/>
      <c r="DN64" s="20"/>
      <c r="DO64" s="20"/>
      <c r="DP64" s="20"/>
      <c r="DQ64" s="20"/>
      <c r="DR64" s="20"/>
      <c r="DS64" s="20"/>
      <c r="DT64" s="20"/>
      <c r="DU64" s="20"/>
      <c r="DV64" s="20"/>
      <c r="DW64" s="20"/>
      <c r="DX64" s="20"/>
      <c r="DY64" s="22">
        <f t="shared" si="498"/>
        <v>0</v>
      </c>
      <c r="EA64" s="20"/>
      <c r="EB64" s="20"/>
      <c r="EC64" s="20"/>
      <c r="ED64" s="20"/>
      <c r="EE64" s="20"/>
      <c r="EF64" s="20"/>
      <c r="EG64" s="20"/>
      <c r="EH64" s="20"/>
      <c r="EI64" s="20"/>
      <c r="EJ64" s="20"/>
      <c r="EK64" s="20"/>
      <c r="EL64" s="20"/>
      <c r="EM64" s="22">
        <f t="shared" si="499"/>
        <v>0</v>
      </c>
    </row>
    <row r="65" spans="3:143" x14ac:dyDescent="0.2">
      <c r="C65" s="19" t="s">
        <v>16</v>
      </c>
      <c r="E65" s="20"/>
      <c r="F65" s="20"/>
      <c r="G65" s="20"/>
      <c r="H65" s="20"/>
      <c r="I65" s="20"/>
      <c r="J65" s="20"/>
      <c r="K65" s="20"/>
      <c r="L65" s="20"/>
      <c r="M65" s="20"/>
      <c r="N65" s="20"/>
      <c r="O65" s="20"/>
      <c r="P65" s="20"/>
      <c r="Q65" s="22">
        <f t="shared" si="490"/>
        <v>0</v>
      </c>
      <c r="S65" s="20"/>
      <c r="T65" s="20"/>
      <c r="U65" s="20"/>
      <c r="V65" s="20"/>
      <c r="W65" s="20"/>
      <c r="X65" s="20"/>
      <c r="Y65" s="20"/>
      <c r="Z65" s="20"/>
      <c r="AA65" s="20"/>
      <c r="AB65" s="20"/>
      <c r="AC65" s="20"/>
      <c r="AD65" s="20"/>
      <c r="AE65" s="22">
        <f t="shared" si="491"/>
        <v>0</v>
      </c>
      <c r="AG65" s="20"/>
      <c r="AH65" s="20"/>
      <c r="AI65" s="20"/>
      <c r="AJ65" s="20"/>
      <c r="AK65" s="20"/>
      <c r="AL65" s="20"/>
      <c r="AM65" s="20"/>
      <c r="AN65" s="20"/>
      <c r="AO65" s="20"/>
      <c r="AP65" s="20"/>
      <c r="AQ65" s="20"/>
      <c r="AR65" s="20"/>
      <c r="AS65" s="22">
        <f t="shared" si="492"/>
        <v>0</v>
      </c>
      <c r="AU65" s="20"/>
      <c r="AV65" s="20"/>
      <c r="AW65" s="20"/>
      <c r="AX65" s="20"/>
      <c r="AY65" s="20"/>
      <c r="AZ65" s="20"/>
      <c r="BA65" s="20"/>
      <c r="BB65" s="20"/>
      <c r="BC65" s="20"/>
      <c r="BD65" s="20"/>
      <c r="BE65" s="20"/>
      <c r="BF65" s="20"/>
      <c r="BG65" s="22">
        <f t="shared" si="493"/>
        <v>0</v>
      </c>
      <c r="BI65" s="20"/>
      <c r="BJ65" s="20"/>
      <c r="BK65" s="20"/>
      <c r="BL65" s="20"/>
      <c r="BM65" s="20"/>
      <c r="BN65" s="20"/>
      <c r="BO65" s="20"/>
      <c r="BP65" s="20"/>
      <c r="BQ65" s="20"/>
      <c r="BR65" s="20"/>
      <c r="BS65" s="20"/>
      <c r="BT65" s="20"/>
      <c r="BU65" s="22">
        <f t="shared" si="494"/>
        <v>0</v>
      </c>
      <c r="BW65" s="20"/>
      <c r="BX65" s="20"/>
      <c r="BY65" s="20"/>
      <c r="BZ65" s="20"/>
      <c r="CA65" s="20"/>
      <c r="CB65" s="20"/>
      <c r="CC65" s="20"/>
      <c r="CD65" s="20"/>
      <c r="CE65" s="20"/>
      <c r="CF65" s="20"/>
      <c r="CG65" s="20"/>
      <c r="CH65" s="20"/>
      <c r="CI65" s="22">
        <f t="shared" si="495"/>
        <v>0</v>
      </c>
      <c r="CK65" s="20"/>
      <c r="CL65" s="20"/>
      <c r="CM65" s="20"/>
      <c r="CN65" s="20"/>
      <c r="CO65" s="20"/>
      <c r="CP65" s="20"/>
      <c r="CQ65" s="20"/>
      <c r="CR65" s="20"/>
      <c r="CS65" s="20"/>
      <c r="CT65" s="20"/>
      <c r="CU65" s="20"/>
      <c r="CV65" s="20"/>
      <c r="CW65" s="22">
        <f t="shared" si="496"/>
        <v>0</v>
      </c>
      <c r="CY65" s="20"/>
      <c r="CZ65" s="20"/>
      <c r="DA65" s="20"/>
      <c r="DB65" s="20"/>
      <c r="DC65" s="20"/>
      <c r="DD65" s="20"/>
      <c r="DE65" s="20"/>
      <c r="DF65" s="20"/>
      <c r="DG65" s="20"/>
      <c r="DH65" s="20"/>
      <c r="DI65" s="20"/>
      <c r="DJ65" s="20"/>
      <c r="DK65" s="22">
        <f t="shared" si="497"/>
        <v>0</v>
      </c>
      <c r="DM65" s="20"/>
      <c r="DN65" s="20"/>
      <c r="DO65" s="20"/>
      <c r="DP65" s="20"/>
      <c r="DQ65" s="20"/>
      <c r="DR65" s="20"/>
      <c r="DS65" s="20"/>
      <c r="DT65" s="20"/>
      <c r="DU65" s="20"/>
      <c r="DV65" s="20"/>
      <c r="DW65" s="20"/>
      <c r="DX65" s="20"/>
      <c r="DY65" s="22">
        <f t="shared" si="498"/>
        <v>0</v>
      </c>
      <c r="EA65" s="20"/>
      <c r="EB65" s="20"/>
      <c r="EC65" s="20"/>
      <c r="ED65" s="20"/>
      <c r="EE65" s="20"/>
      <c r="EF65" s="20"/>
      <c r="EG65" s="20"/>
      <c r="EH65" s="20"/>
      <c r="EI65" s="20"/>
      <c r="EJ65" s="20"/>
      <c r="EK65" s="20"/>
      <c r="EL65" s="20"/>
      <c r="EM65" s="22">
        <f t="shared" si="499"/>
        <v>0</v>
      </c>
    </row>
    <row r="66" spans="3:143" x14ac:dyDescent="0.2">
      <c r="C66" s="19" t="s">
        <v>16</v>
      </c>
      <c r="E66" s="20"/>
      <c r="F66" s="20"/>
      <c r="G66" s="20"/>
      <c r="H66" s="20"/>
      <c r="I66" s="20"/>
      <c r="J66" s="20"/>
      <c r="K66" s="20"/>
      <c r="L66" s="20"/>
      <c r="M66" s="20"/>
      <c r="N66" s="20"/>
      <c r="O66" s="20"/>
      <c r="P66" s="20"/>
      <c r="Q66" s="22">
        <f t="shared" si="490"/>
        <v>0</v>
      </c>
      <c r="S66" s="20"/>
      <c r="T66" s="20"/>
      <c r="U66" s="20"/>
      <c r="V66" s="20"/>
      <c r="W66" s="20"/>
      <c r="X66" s="20"/>
      <c r="Y66" s="20"/>
      <c r="Z66" s="20"/>
      <c r="AA66" s="20"/>
      <c r="AB66" s="20"/>
      <c r="AC66" s="20"/>
      <c r="AD66" s="20"/>
      <c r="AE66" s="22">
        <f t="shared" si="491"/>
        <v>0</v>
      </c>
      <c r="AG66" s="20"/>
      <c r="AH66" s="20"/>
      <c r="AI66" s="20"/>
      <c r="AJ66" s="20"/>
      <c r="AK66" s="20"/>
      <c r="AL66" s="20"/>
      <c r="AM66" s="20"/>
      <c r="AN66" s="20"/>
      <c r="AO66" s="20"/>
      <c r="AP66" s="20"/>
      <c r="AQ66" s="20"/>
      <c r="AR66" s="20"/>
      <c r="AS66" s="22">
        <f t="shared" si="492"/>
        <v>0</v>
      </c>
      <c r="AU66" s="20"/>
      <c r="AV66" s="20"/>
      <c r="AW66" s="20"/>
      <c r="AX66" s="20"/>
      <c r="AY66" s="20"/>
      <c r="AZ66" s="20"/>
      <c r="BA66" s="20"/>
      <c r="BB66" s="20"/>
      <c r="BC66" s="20"/>
      <c r="BD66" s="20"/>
      <c r="BE66" s="20"/>
      <c r="BF66" s="20"/>
      <c r="BG66" s="22">
        <f t="shared" si="493"/>
        <v>0</v>
      </c>
      <c r="BI66" s="20"/>
      <c r="BJ66" s="20"/>
      <c r="BK66" s="20"/>
      <c r="BL66" s="20"/>
      <c r="BM66" s="20"/>
      <c r="BN66" s="20"/>
      <c r="BO66" s="20"/>
      <c r="BP66" s="20"/>
      <c r="BQ66" s="20"/>
      <c r="BR66" s="20"/>
      <c r="BS66" s="20"/>
      <c r="BT66" s="20"/>
      <c r="BU66" s="22">
        <f t="shared" si="494"/>
        <v>0</v>
      </c>
      <c r="BW66" s="20"/>
      <c r="BX66" s="20"/>
      <c r="BY66" s="20"/>
      <c r="BZ66" s="20"/>
      <c r="CA66" s="20"/>
      <c r="CB66" s="20"/>
      <c r="CC66" s="20"/>
      <c r="CD66" s="20"/>
      <c r="CE66" s="20"/>
      <c r="CF66" s="20"/>
      <c r="CG66" s="20"/>
      <c r="CH66" s="20"/>
      <c r="CI66" s="22">
        <f t="shared" si="495"/>
        <v>0</v>
      </c>
      <c r="CK66" s="20"/>
      <c r="CL66" s="20"/>
      <c r="CM66" s="20"/>
      <c r="CN66" s="20"/>
      <c r="CO66" s="20"/>
      <c r="CP66" s="20"/>
      <c r="CQ66" s="20"/>
      <c r="CR66" s="20"/>
      <c r="CS66" s="20"/>
      <c r="CT66" s="20"/>
      <c r="CU66" s="20"/>
      <c r="CV66" s="20"/>
      <c r="CW66" s="22">
        <f t="shared" si="496"/>
        <v>0</v>
      </c>
      <c r="CY66" s="20"/>
      <c r="CZ66" s="20"/>
      <c r="DA66" s="20"/>
      <c r="DB66" s="20"/>
      <c r="DC66" s="20"/>
      <c r="DD66" s="20"/>
      <c r="DE66" s="20"/>
      <c r="DF66" s="20"/>
      <c r="DG66" s="20"/>
      <c r="DH66" s="20"/>
      <c r="DI66" s="20"/>
      <c r="DJ66" s="20"/>
      <c r="DK66" s="22">
        <f t="shared" si="497"/>
        <v>0</v>
      </c>
      <c r="DM66" s="20"/>
      <c r="DN66" s="20"/>
      <c r="DO66" s="20"/>
      <c r="DP66" s="20"/>
      <c r="DQ66" s="20"/>
      <c r="DR66" s="20"/>
      <c r="DS66" s="20"/>
      <c r="DT66" s="20"/>
      <c r="DU66" s="20"/>
      <c r="DV66" s="20"/>
      <c r="DW66" s="20"/>
      <c r="DX66" s="20"/>
      <c r="DY66" s="22">
        <f t="shared" si="498"/>
        <v>0</v>
      </c>
      <c r="EA66" s="20"/>
      <c r="EB66" s="20"/>
      <c r="EC66" s="20"/>
      <c r="ED66" s="20"/>
      <c r="EE66" s="20"/>
      <c r="EF66" s="20"/>
      <c r="EG66" s="20"/>
      <c r="EH66" s="20"/>
      <c r="EI66" s="20"/>
      <c r="EJ66" s="20"/>
      <c r="EK66" s="20"/>
      <c r="EL66" s="20"/>
      <c r="EM66" s="22">
        <f t="shared" si="499"/>
        <v>0</v>
      </c>
    </row>
    <row r="67" spans="3:143" x14ac:dyDescent="0.2">
      <c r="C67" s="19" t="s">
        <v>16</v>
      </c>
      <c r="E67" s="20"/>
      <c r="F67" s="20"/>
      <c r="G67" s="20"/>
      <c r="H67" s="20"/>
      <c r="I67" s="20"/>
      <c r="J67" s="20"/>
      <c r="K67" s="20"/>
      <c r="L67" s="20"/>
      <c r="M67" s="20"/>
      <c r="N67" s="20"/>
      <c r="O67" s="20"/>
      <c r="P67" s="20"/>
      <c r="Q67" s="22">
        <f t="shared" si="490"/>
        <v>0</v>
      </c>
      <c r="S67" s="20"/>
      <c r="T67" s="20"/>
      <c r="U67" s="20"/>
      <c r="V67" s="20"/>
      <c r="W67" s="20"/>
      <c r="X67" s="20"/>
      <c r="Y67" s="20"/>
      <c r="Z67" s="20"/>
      <c r="AA67" s="20"/>
      <c r="AB67" s="20"/>
      <c r="AC67" s="20"/>
      <c r="AD67" s="20"/>
      <c r="AE67" s="22">
        <f t="shared" si="491"/>
        <v>0</v>
      </c>
      <c r="AG67" s="20"/>
      <c r="AH67" s="20"/>
      <c r="AI67" s="20"/>
      <c r="AJ67" s="20"/>
      <c r="AK67" s="20"/>
      <c r="AL67" s="20"/>
      <c r="AM67" s="20"/>
      <c r="AN67" s="20"/>
      <c r="AO67" s="20"/>
      <c r="AP67" s="20"/>
      <c r="AQ67" s="20"/>
      <c r="AR67" s="20"/>
      <c r="AS67" s="22">
        <f t="shared" si="492"/>
        <v>0</v>
      </c>
      <c r="AU67" s="20"/>
      <c r="AV67" s="20"/>
      <c r="AW67" s="20"/>
      <c r="AX67" s="20"/>
      <c r="AY67" s="20"/>
      <c r="AZ67" s="20"/>
      <c r="BA67" s="20"/>
      <c r="BB67" s="20"/>
      <c r="BC67" s="20"/>
      <c r="BD67" s="20"/>
      <c r="BE67" s="20"/>
      <c r="BF67" s="20"/>
      <c r="BG67" s="22">
        <f t="shared" si="493"/>
        <v>0</v>
      </c>
      <c r="BI67" s="20"/>
      <c r="BJ67" s="20"/>
      <c r="BK67" s="20"/>
      <c r="BL67" s="20"/>
      <c r="BM67" s="20"/>
      <c r="BN67" s="20"/>
      <c r="BO67" s="20"/>
      <c r="BP67" s="20"/>
      <c r="BQ67" s="20"/>
      <c r="BR67" s="20"/>
      <c r="BS67" s="20"/>
      <c r="BT67" s="20"/>
      <c r="BU67" s="22">
        <f t="shared" si="494"/>
        <v>0</v>
      </c>
      <c r="BW67" s="20"/>
      <c r="BX67" s="20"/>
      <c r="BY67" s="20"/>
      <c r="BZ67" s="20"/>
      <c r="CA67" s="20"/>
      <c r="CB67" s="20"/>
      <c r="CC67" s="20"/>
      <c r="CD67" s="20"/>
      <c r="CE67" s="20"/>
      <c r="CF67" s="20"/>
      <c r="CG67" s="20"/>
      <c r="CH67" s="20"/>
      <c r="CI67" s="22">
        <f t="shared" si="495"/>
        <v>0</v>
      </c>
      <c r="CK67" s="20"/>
      <c r="CL67" s="20"/>
      <c r="CM67" s="20"/>
      <c r="CN67" s="20"/>
      <c r="CO67" s="20"/>
      <c r="CP67" s="20"/>
      <c r="CQ67" s="20"/>
      <c r="CR67" s="20"/>
      <c r="CS67" s="20"/>
      <c r="CT67" s="20"/>
      <c r="CU67" s="20"/>
      <c r="CV67" s="20"/>
      <c r="CW67" s="22">
        <f t="shared" si="496"/>
        <v>0</v>
      </c>
      <c r="CY67" s="20"/>
      <c r="CZ67" s="20"/>
      <c r="DA67" s="20"/>
      <c r="DB67" s="20"/>
      <c r="DC67" s="20"/>
      <c r="DD67" s="20"/>
      <c r="DE67" s="20"/>
      <c r="DF67" s="20"/>
      <c r="DG67" s="20"/>
      <c r="DH67" s="20"/>
      <c r="DI67" s="20"/>
      <c r="DJ67" s="20"/>
      <c r="DK67" s="22">
        <f t="shared" si="497"/>
        <v>0</v>
      </c>
      <c r="DM67" s="20"/>
      <c r="DN67" s="20"/>
      <c r="DO67" s="20"/>
      <c r="DP67" s="20"/>
      <c r="DQ67" s="20"/>
      <c r="DR67" s="20"/>
      <c r="DS67" s="20"/>
      <c r="DT67" s="20"/>
      <c r="DU67" s="20"/>
      <c r="DV67" s="20"/>
      <c r="DW67" s="20"/>
      <c r="DX67" s="20"/>
      <c r="DY67" s="22">
        <f t="shared" si="498"/>
        <v>0</v>
      </c>
      <c r="EA67" s="20"/>
      <c r="EB67" s="20"/>
      <c r="EC67" s="20"/>
      <c r="ED67" s="20"/>
      <c r="EE67" s="20"/>
      <c r="EF67" s="20"/>
      <c r="EG67" s="20"/>
      <c r="EH67" s="20"/>
      <c r="EI67" s="20"/>
      <c r="EJ67" s="20"/>
      <c r="EK67" s="20"/>
      <c r="EL67" s="20"/>
      <c r="EM67" s="22">
        <f t="shared" si="499"/>
        <v>0</v>
      </c>
    </row>
    <row r="68" spans="3:143" x14ac:dyDescent="0.2">
      <c r="C68" s="19" t="s">
        <v>16</v>
      </c>
      <c r="E68" s="20"/>
      <c r="F68" s="20"/>
      <c r="G68" s="20"/>
      <c r="H68" s="20"/>
      <c r="I68" s="20"/>
      <c r="J68" s="20"/>
      <c r="K68" s="20"/>
      <c r="L68" s="20"/>
      <c r="M68" s="20"/>
      <c r="N68" s="20"/>
      <c r="O68" s="20"/>
      <c r="P68" s="20"/>
      <c r="Q68" s="22">
        <f t="shared" si="490"/>
        <v>0</v>
      </c>
      <c r="S68" s="20"/>
      <c r="T68" s="20"/>
      <c r="U68" s="20"/>
      <c r="V68" s="20"/>
      <c r="W68" s="20"/>
      <c r="X68" s="20"/>
      <c r="Y68" s="20"/>
      <c r="Z68" s="20"/>
      <c r="AA68" s="20"/>
      <c r="AB68" s="20"/>
      <c r="AC68" s="20"/>
      <c r="AD68" s="20"/>
      <c r="AE68" s="22">
        <f t="shared" si="491"/>
        <v>0</v>
      </c>
      <c r="AG68" s="20"/>
      <c r="AH68" s="20"/>
      <c r="AI68" s="20"/>
      <c r="AJ68" s="20"/>
      <c r="AK68" s="20"/>
      <c r="AL68" s="20"/>
      <c r="AM68" s="20"/>
      <c r="AN68" s="20"/>
      <c r="AO68" s="20"/>
      <c r="AP68" s="20"/>
      <c r="AQ68" s="20"/>
      <c r="AR68" s="20"/>
      <c r="AS68" s="22">
        <f t="shared" si="492"/>
        <v>0</v>
      </c>
      <c r="AU68" s="20"/>
      <c r="AV68" s="20"/>
      <c r="AW68" s="20"/>
      <c r="AX68" s="20"/>
      <c r="AY68" s="20"/>
      <c r="AZ68" s="20"/>
      <c r="BA68" s="20"/>
      <c r="BB68" s="20"/>
      <c r="BC68" s="20"/>
      <c r="BD68" s="20"/>
      <c r="BE68" s="20"/>
      <c r="BF68" s="20"/>
      <c r="BG68" s="22">
        <f t="shared" si="493"/>
        <v>0</v>
      </c>
      <c r="BI68" s="20"/>
      <c r="BJ68" s="20"/>
      <c r="BK68" s="20"/>
      <c r="BL68" s="20"/>
      <c r="BM68" s="20"/>
      <c r="BN68" s="20"/>
      <c r="BO68" s="20"/>
      <c r="BP68" s="20"/>
      <c r="BQ68" s="20"/>
      <c r="BR68" s="20"/>
      <c r="BS68" s="20"/>
      <c r="BT68" s="20"/>
      <c r="BU68" s="22">
        <f t="shared" si="494"/>
        <v>0</v>
      </c>
      <c r="BW68" s="20"/>
      <c r="BX68" s="20"/>
      <c r="BY68" s="20"/>
      <c r="BZ68" s="20"/>
      <c r="CA68" s="20"/>
      <c r="CB68" s="20"/>
      <c r="CC68" s="20"/>
      <c r="CD68" s="20"/>
      <c r="CE68" s="20"/>
      <c r="CF68" s="20"/>
      <c r="CG68" s="20"/>
      <c r="CH68" s="20"/>
      <c r="CI68" s="22">
        <f t="shared" si="495"/>
        <v>0</v>
      </c>
      <c r="CK68" s="20"/>
      <c r="CL68" s="20"/>
      <c r="CM68" s="20"/>
      <c r="CN68" s="20"/>
      <c r="CO68" s="20"/>
      <c r="CP68" s="20"/>
      <c r="CQ68" s="20"/>
      <c r="CR68" s="20"/>
      <c r="CS68" s="20"/>
      <c r="CT68" s="20"/>
      <c r="CU68" s="20"/>
      <c r="CV68" s="20"/>
      <c r="CW68" s="22">
        <f t="shared" si="496"/>
        <v>0</v>
      </c>
      <c r="CY68" s="20"/>
      <c r="CZ68" s="20"/>
      <c r="DA68" s="20"/>
      <c r="DB68" s="20"/>
      <c r="DC68" s="20"/>
      <c r="DD68" s="20"/>
      <c r="DE68" s="20"/>
      <c r="DF68" s="20"/>
      <c r="DG68" s="20"/>
      <c r="DH68" s="20"/>
      <c r="DI68" s="20"/>
      <c r="DJ68" s="20"/>
      <c r="DK68" s="22">
        <f t="shared" si="497"/>
        <v>0</v>
      </c>
      <c r="DM68" s="20"/>
      <c r="DN68" s="20"/>
      <c r="DO68" s="20"/>
      <c r="DP68" s="20"/>
      <c r="DQ68" s="20"/>
      <c r="DR68" s="20"/>
      <c r="DS68" s="20"/>
      <c r="DT68" s="20"/>
      <c r="DU68" s="20"/>
      <c r="DV68" s="20"/>
      <c r="DW68" s="20"/>
      <c r="DX68" s="20"/>
      <c r="DY68" s="22">
        <f t="shared" si="498"/>
        <v>0</v>
      </c>
      <c r="EA68" s="20"/>
      <c r="EB68" s="20"/>
      <c r="EC68" s="20"/>
      <c r="ED68" s="20"/>
      <c r="EE68" s="20"/>
      <c r="EF68" s="20"/>
      <c r="EG68" s="20"/>
      <c r="EH68" s="20"/>
      <c r="EI68" s="20"/>
      <c r="EJ68" s="20"/>
      <c r="EK68" s="20"/>
      <c r="EL68" s="20"/>
      <c r="EM68" s="22">
        <f t="shared" si="499"/>
        <v>0</v>
      </c>
    </row>
    <row r="69" spans="3:143" x14ac:dyDescent="0.2">
      <c r="C69" s="19" t="s">
        <v>16</v>
      </c>
      <c r="E69" s="20"/>
      <c r="F69" s="20"/>
      <c r="G69" s="20"/>
      <c r="H69" s="20"/>
      <c r="I69" s="20"/>
      <c r="J69" s="20"/>
      <c r="K69" s="20"/>
      <c r="L69" s="20"/>
      <c r="M69" s="20"/>
      <c r="N69" s="20"/>
      <c r="O69" s="20"/>
      <c r="P69" s="20"/>
      <c r="Q69" s="22">
        <f t="shared" si="490"/>
        <v>0</v>
      </c>
      <c r="S69" s="20"/>
      <c r="T69" s="20"/>
      <c r="U69" s="20"/>
      <c r="V69" s="20"/>
      <c r="W69" s="20"/>
      <c r="X69" s="20"/>
      <c r="Y69" s="20"/>
      <c r="Z69" s="20"/>
      <c r="AA69" s="20"/>
      <c r="AB69" s="20"/>
      <c r="AC69" s="20"/>
      <c r="AD69" s="20"/>
      <c r="AE69" s="22">
        <f t="shared" si="491"/>
        <v>0</v>
      </c>
      <c r="AG69" s="20"/>
      <c r="AH69" s="20"/>
      <c r="AI69" s="20"/>
      <c r="AJ69" s="20"/>
      <c r="AK69" s="20"/>
      <c r="AL69" s="20"/>
      <c r="AM69" s="20"/>
      <c r="AN69" s="20"/>
      <c r="AO69" s="20"/>
      <c r="AP69" s="20"/>
      <c r="AQ69" s="20"/>
      <c r="AR69" s="20"/>
      <c r="AS69" s="22">
        <f t="shared" si="492"/>
        <v>0</v>
      </c>
      <c r="AU69" s="20"/>
      <c r="AV69" s="20"/>
      <c r="AW69" s="20"/>
      <c r="AX69" s="20"/>
      <c r="AY69" s="20"/>
      <c r="AZ69" s="20"/>
      <c r="BA69" s="20"/>
      <c r="BB69" s="20"/>
      <c r="BC69" s="20"/>
      <c r="BD69" s="20"/>
      <c r="BE69" s="20"/>
      <c r="BF69" s="20"/>
      <c r="BG69" s="22">
        <f t="shared" si="493"/>
        <v>0</v>
      </c>
      <c r="BI69" s="20"/>
      <c r="BJ69" s="20"/>
      <c r="BK69" s="20"/>
      <c r="BL69" s="20"/>
      <c r="BM69" s="20"/>
      <c r="BN69" s="20"/>
      <c r="BO69" s="20"/>
      <c r="BP69" s="20"/>
      <c r="BQ69" s="20"/>
      <c r="BR69" s="20"/>
      <c r="BS69" s="20"/>
      <c r="BT69" s="20"/>
      <c r="BU69" s="22">
        <f t="shared" si="494"/>
        <v>0</v>
      </c>
      <c r="BW69" s="20"/>
      <c r="BX69" s="20"/>
      <c r="BY69" s="20"/>
      <c r="BZ69" s="20"/>
      <c r="CA69" s="20"/>
      <c r="CB69" s="20"/>
      <c r="CC69" s="20"/>
      <c r="CD69" s="20"/>
      <c r="CE69" s="20"/>
      <c r="CF69" s="20"/>
      <c r="CG69" s="20"/>
      <c r="CH69" s="20"/>
      <c r="CI69" s="22">
        <f t="shared" si="495"/>
        <v>0</v>
      </c>
      <c r="CK69" s="20"/>
      <c r="CL69" s="20"/>
      <c r="CM69" s="20"/>
      <c r="CN69" s="20"/>
      <c r="CO69" s="20"/>
      <c r="CP69" s="20"/>
      <c r="CQ69" s="20"/>
      <c r="CR69" s="20"/>
      <c r="CS69" s="20"/>
      <c r="CT69" s="20"/>
      <c r="CU69" s="20"/>
      <c r="CV69" s="20"/>
      <c r="CW69" s="22">
        <f t="shared" si="496"/>
        <v>0</v>
      </c>
      <c r="CY69" s="20"/>
      <c r="CZ69" s="20"/>
      <c r="DA69" s="20"/>
      <c r="DB69" s="20"/>
      <c r="DC69" s="20"/>
      <c r="DD69" s="20"/>
      <c r="DE69" s="20"/>
      <c r="DF69" s="20"/>
      <c r="DG69" s="20"/>
      <c r="DH69" s="20"/>
      <c r="DI69" s="20"/>
      <c r="DJ69" s="20"/>
      <c r="DK69" s="22">
        <f t="shared" si="497"/>
        <v>0</v>
      </c>
      <c r="DM69" s="20"/>
      <c r="DN69" s="20"/>
      <c r="DO69" s="20"/>
      <c r="DP69" s="20"/>
      <c r="DQ69" s="20"/>
      <c r="DR69" s="20"/>
      <c r="DS69" s="20"/>
      <c r="DT69" s="20"/>
      <c r="DU69" s="20"/>
      <c r="DV69" s="20"/>
      <c r="DW69" s="20"/>
      <c r="DX69" s="20"/>
      <c r="DY69" s="22">
        <f t="shared" si="498"/>
        <v>0</v>
      </c>
      <c r="EA69" s="20"/>
      <c r="EB69" s="20"/>
      <c r="EC69" s="20"/>
      <c r="ED69" s="20"/>
      <c r="EE69" s="20"/>
      <c r="EF69" s="20"/>
      <c r="EG69" s="20"/>
      <c r="EH69" s="20"/>
      <c r="EI69" s="20"/>
      <c r="EJ69" s="20"/>
      <c r="EK69" s="20"/>
      <c r="EL69" s="20"/>
      <c r="EM69" s="22">
        <f t="shared" si="499"/>
        <v>0</v>
      </c>
    </row>
    <row r="70" spans="3:143" x14ac:dyDescent="0.2">
      <c r="C70" s="19" t="s">
        <v>16</v>
      </c>
      <c r="E70" s="20"/>
      <c r="F70" s="20"/>
      <c r="G70" s="20"/>
      <c r="H70" s="20"/>
      <c r="I70" s="20"/>
      <c r="J70" s="20"/>
      <c r="K70" s="20"/>
      <c r="L70" s="20"/>
      <c r="M70" s="20"/>
      <c r="N70" s="20"/>
      <c r="O70" s="20"/>
      <c r="P70" s="20"/>
      <c r="Q70" s="22">
        <f t="shared" si="490"/>
        <v>0</v>
      </c>
      <c r="S70" s="20"/>
      <c r="T70" s="20"/>
      <c r="U70" s="20"/>
      <c r="V70" s="20"/>
      <c r="W70" s="20"/>
      <c r="X70" s="20"/>
      <c r="Y70" s="20"/>
      <c r="Z70" s="20"/>
      <c r="AA70" s="20"/>
      <c r="AB70" s="20"/>
      <c r="AC70" s="20"/>
      <c r="AD70" s="20"/>
      <c r="AE70" s="22">
        <f t="shared" si="491"/>
        <v>0</v>
      </c>
      <c r="AG70" s="20"/>
      <c r="AH70" s="20"/>
      <c r="AI70" s="20"/>
      <c r="AJ70" s="20"/>
      <c r="AK70" s="20"/>
      <c r="AL70" s="20"/>
      <c r="AM70" s="20"/>
      <c r="AN70" s="20"/>
      <c r="AO70" s="20"/>
      <c r="AP70" s="20"/>
      <c r="AQ70" s="20"/>
      <c r="AR70" s="20"/>
      <c r="AS70" s="22">
        <f t="shared" si="492"/>
        <v>0</v>
      </c>
      <c r="AU70" s="20"/>
      <c r="AV70" s="20"/>
      <c r="AW70" s="20"/>
      <c r="AX70" s="20"/>
      <c r="AY70" s="20"/>
      <c r="AZ70" s="20"/>
      <c r="BA70" s="20"/>
      <c r="BB70" s="20"/>
      <c r="BC70" s="20"/>
      <c r="BD70" s="20"/>
      <c r="BE70" s="20"/>
      <c r="BF70" s="20"/>
      <c r="BG70" s="22">
        <f t="shared" si="493"/>
        <v>0</v>
      </c>
      <c r="BI70" s="20"/>
      <c r="BJ70" s="20"/>
      <c r="BK70" s="20"/>
      <c r="BL70" s="20"/>
      <c r="BM70" s="20"/>
      <c r="BN70" s="20"/>
      <c r="BO70" s="20"/>
      <c r="BP70" s="20"/>
      <c r="BQ70" s="20"/>
      <c r="BR70" s="20"/>
      <c r="BS70" s="20"/>
      <c r="BT70" s="20"/>
      <c r="BU70" s="22">
        <f t="shared" si="494"/>
        <v>0</v>
      </c>
      <c r="BW70" s="20"/>
      <c r="BX70" s="20"/>
      <c r="BY70" s="20"/>
      <c r="BZ70" s="20"/>
      <c r="CA70" s="20"/>
      <c r="CB70" s="20"/>
      <c r="CC70" s="20"/>
      <c r="CD70" s="20"/>
      <c r="CE70" s="20"/>
      <c r="CF70" s="20"/>
      <c r="CG70" s="20"/>
      <c r="CH70" s="20"/>
      <c r="CI70" s="22">
        <f t="shared" si="495"/>
        <v>0</v>
      </c>
      <c r="CK70" s="20"/>
      <c r="CL70" s="20"/>
      <c r="CM70" s="20"/>
      <c r="CN70" s="20"/>
      <c r="CO70" s="20"/>
      <c r="CP70" s="20"/>
      <c r="CQ70" s="20"/>
      <c r="CR70" s="20"/>
      <c r="CS70" s="20"/>
      <c r="CT70" s="20"/>
      <c r="CU70" s="20"/>
      <c r="CV70" s="20"/>
      <c r="CW70" s="22">
        <f t="shared" si="496"/>
        <v>0</v>
      </c>
      <c r="CY70" s="20"/>
      <c r="CZ70" s="20"/>
      <c r="DA70" s="20"/>
      <c r="DB70" s="20"/>
      <c r="DC70" s="20"/>
      <c r="DD70" s="20"/>
      <c r="DE70" s="20"/>
      <c r="DF70" s="20"/>
      <c r="DG70" s="20"/>
      <c r="DH70" s="20"/>
      <c r="DI70" s="20"/>
      <c r="DJ70" s="20"/>
      <c r="DK70" s="22">
        <f t="shared" si="497"/>
        <v>0</v>
      </c>
      <c r="DM70" s="20"/>
      <c r="DN70" s="20"/>
      <c r="DO70" s="20"/>
      <c r="DP70" s="20"/>
      <c r="DQ70" s="20"/>
      <c r="DR70" s="20"/>
      <c r="DS70" s="20"/>
      <c r="DT70" s="20"/>
      <c r="DU70" s="20"/>
      <c r="DV70" s="20"/>
      <c r="DW70" s="20"/>
      <c r="DX70" s="20"/>
      <c r="DY70" s="22">
        <f t="shared" si="498"/>
        <v>0</v>
      </c>
      <c r="EA70" s="20"/>
      <c r="EB70" s="20"/>
      <c r="EC70" s="20"/>
      <c r="ED70" s="20"/>
      <c r="EE70" s="20"/>
      <c r="EF70" s="20"/>
      <c r="EG70" s="20"/>
      <c r="EH70" s="20"/>
      <c r="EI70" s="20"/>
      <c r="EJ70" s="20"/>
      <c r="EK70" s="20"/>
      <c r="EL70" s="20"/>
      <c r="EM70" s="22">
        <f t="shared" si="499"/>
        <v>0</v>
      </c>
    </row>
    <row r="71" spans="3:143" x14ac:dyDescent="0.2">
      <c r="C71" s="16" t="s">
        <v>12</v>
      </c>
      <c r="E71" s="21" cm="1">
        <f t="array" aca="1" ref="E71" ca="1">SUM(INDIRECT(ADDRESS(savings_min_row, COLUMN()) &amp; ":" &amp; ADDRESS(savings_max_row, COLUMN())))</f>
        <v>0</v>
      </c>
      <c r="F71" s="21" cm="1">
        <f t="array" aca="1" ref="F71" ca="1">SUM(INDIRECT(ADDRESS(savings_min_row, COLUMN()) &amp; ":" &amp; ADDRESS(savings_max_row, COLUMN())))</f>
        <v>0</v>
      </c>
      <c r="G71" s="21" cm="1">
        <f t="array" aca="1" ref="G71" ca="1">SUM(INDIRECT(ADDRESS(savings_min_row, COLUMN()) &amp; ":" &amp; ADDRESS(savings_max_row, COLUMN())))</f>
        <v>0</v>
      </c>
      <c r="H71" s="21" cm="1">
        <f t="array" aca="1" ref="H71" ca="1">SUM(INDIRECT(ADDRESS(savings_min_row, COLUMN()) &amp; ":" &amp; ADDRESS(savings_max_row, COLUMN())))</f>
        <v>0</v>
      </c>
      <c r="I71" s="21" cm="1">
        <f t="array" aca="1" ref="I71" ca="1">SUM(INDIRECT(ADDRESS(savings_min_row, COLUMN()) &amp; ":" &amp; ADDRESS(savings_max_row, COLUMN())))</f>
        <v>0</v>
      </c>
      <c r="J71" s="21" cm="1">
        <f t="array" aca="1" ref="J71" ca="1">SUM(INDIRECT(ADDRESS(savings_min_row, COLUMN()) &amp; ":" &amp; ADDRESS(savings_max_row, COLUMN())))</f>
        <v>0</v>
      </c>
      <c r="K71" s="21" cm="1">
        <f t="array" aca="1" ref="K71" ca="1">SUM(INDIRECT(ADDRESS(savings_min_row, COLUMN()) &amp; ":" &amp; ADDRESS(savings_max_row, COLUMN())))</f>
        <v>0</v>
      </c>
      <c r="L71" s="21" cm="1">
        <f t="array" aca="1" ref="L71" ca="1">SUM(INDIRECT(ADDRESS(savings_min_row, COLUMN()) &amp; ":" &amp; ADDRESS(savings_max_row, COLUMN())))</f>
        <v>0</v>
      </c>
      <c r="M71" s="21" cm="1">
        <f t="array" aca="1" ref="M71" ca="1">SUM(INDIRECT(ADDRESS(savings_min_row, COLUMN()) &amp; ":" &amp; ADDRESS(savings_max_row, COLUMN())))</f>
        <v>0</v>
      </c>
      <c r="N71" s="21" cm="1">
        <f t="array" aca="1" ref="N71" ca="1">SUM(INDIRECT(ADDRESS(savings_min_row, COLUMN()) &amp; ":" &amp; ADDRESS(savings_max_row, COLUMN())))</f>
        <v>0</v>
      </c>
      <c r="O71" s="21" cm="1">
        <f t="array" aca="1" ref="O71" ca="1">SUM(INDIRECT(ADDRESS(savings_min_row, COLUMN()) &amp; ":" &amp; ADDRESS(savings_max_row, COLUMN())))</f>
        <v>0</v>
      </c>
      <c r="P71" s="21" cm="1">
        <f t="array" aca="1" ref="P71" ca="1">SUM(INDIRECT(ADDRESS(savings_min_row, COLUMN()) &amp; ":" &amp; ADDRESS(savings_max_row, COLUMN())))</f>
        <v>0</v>
      </c>
      <c r="Q71" s="21" cm="1">
        <f t="array" aca="1" ref="Q71" ca="1">SUM(INDIRECT(ADDRESS(savings_min_row, COLUMN()) &amp; ":" &amp; ADDRESS(savings_max_row, COLUMN())))</f>
        <v>0</v>
      </c>
      <c r="S71" s="21" cm="1">
        <f t="array" aca="1" ref="S71" ca="1">SUM(INDIRECT(ADDRESS(savings_min_row, COLUMN()) &amp; ":" &amp; ADDRESS(savings_max_row, COLUMN())))</f>
        <v>0</v>
      </c>
      <c r="T71" s="21" cm="1">
        <f t="array" aca="1" ref="T71" ca="1">SUM(INDIRECT(ADDRESS(savings_min_row, COLUMN()) &amp; ":" &amp; ADDRESS(savings_max_row, COLUMN())))</f>
        <v>0</v>
      </c>
      <c r="U71" s="21" cm="1">
        <f t="array" aca="1" ref="U71" ca="1">SUM(INDIRECT(ADDRESS(savings_min_row, COLUMN()) &amp; ":" &amp; ADDRESS(savings_max_row, COLUMN())))</f>
        <v>0</v>
      </c>
      <c r="V71" s="21" cm="1">
        <f t="array" aca="1" ref="V71" ca="1">SUM(INDIRECT(ADDRESS(savings_min_row, COLUMN()) &amp; ":" &amp; ADDRESS(savings_max_row, COLUMN())))</f>
        <v>0</v>
      </c>
      <c r="W71" s="21" cm="1">
        <f t="array" aca="1" ref="W71" ca="1">SUM(INDIRECT(ADDRESS(savings_min_row, COLUMN()) &amp; ":" &amp; ADDRESS(savings_max_row, COLUMN())))</f>
        <v>0</v>
      </c>
      <c r="X71" s="21" cm="1">
        <f t="array" aca="1" ref="X71" ca="1">SUM(INDIRECT(ADDRESS(savings_min_row, COLUMN()) &amp; ":" &amp; ADDRESS(savings_max_row, COLUMN())))</f>
        <v>0</v>
      </c>
      <c r="Y71" s="21" cm="1">
        <f t="array" aca="1" ref="Y71" ca="1">SUM(INDIRECT(ADDRESS(savings_min_row, COLUMN()) &amp; ":" &amp; ADDRESS(savings_max_row, COLUMN())))</f>
        <v>0</v>
      </c>
      <c r="Z71" s="21" cm="1">
        <f t="array" aca="1" ref="Z71" ca="1">SUM(INDIRECT(ADDRESS(savings_min_row, COLUMN()) &amp; ":" &amp; ADDRESS(savings_max_row, COLUMN())))</f>
        <v>0</v>
      </c>
      <c r="AA71" s="21" cm="1">
        <f t="array" aca="1" ref="AA71" ca="1">SUM(INDIRECT(ADDRESS(savings_min_row, COLUMN()) &amp; ":" &amp; ADDRESS(savings_max_row, COLUMN())))</f>
        <v>0</v>
      </c>
      <c r="AB71" s="21" cm="1">
        <f t="array" aca="1" ref="AB71" ca="1">SUM(INDIRECT(ADDRESS(savings_min_row, COLUMN()) &amp; ":" &amp; ADDRESS(savings_max_row, COLUMN())))</f>
        <v>0</v>
      </c>
      <c r="AC71" s="21" cm="1">
        <f t="array" aca="1" ref="AC71" ca="1">SUM(INDIRECT(ADDRESS(savings_min_row, COLUMN()) &amp; ":" &amp; ADDRESS(savings_max_row, COLUMN())))</f>
        <v>0</v>
      </c>
      <c r="AD71" s="21" cm="1">
        <f t="array" aca="1" ref="AD71" ca="1">SUM(INDIRECT(ADDRESS(savings_min_row, COLUMN()) &amp; ":" &amp; ADDRESS(savings_max_row, COLUMN())))</f>
        <v>0</v>
      </c>
      <c r="AE71" s="21" cm="1">
        <f t="array" aca="1" ref="AE71" ca="1">SUM(INDIRECT(ADDRESS(savings_min_row, COLUMN()) &amp; ":" &amp; ADDRESS(savings_max_row, COLUMN())))</f>
        <v>0</v>
      </c>
      <c r="AG71" s="21" cm="1">
        <f t="array" aca="1" ref="AG71" ca="1">SUM(INDIRECT(ADDRESS(savings_min_row, COLUMN()) &amp; ":" &amp; ADDRESS(savings_max_row, COLUMN())))</f>
        <v>0</v>
      </c>
      <c r="AH71" s="21" cm="1">
        <f t="array" aca="1" ref="AH71" ca="1">SUM(INDIRECT(ADDRESS(savings_min_row, COLUMN()) &amp; ":" &amp; ADDRESS(savings_max_row, COLUMN())))</f>
        <v>0</v>
      </c>
      <c r="AI71" s="21" cm="1">
        <f t="array" aca="1" ref="AI71" ca="1">SUM(INDIRECT(ADDRESS(savings_min_row, COLUMN()) &amp; ":" &amp; ADDRESS(savings_max_row, COLUMN())))</f>
        <v>0</v>
      </c>
      <c r="AJ71" s="21" cm="1">
        <f t="array" aca="1" ref="AJ71" ca="1">SUM(INDIRECT(ADDRESS(savings_min_row, COLUMN()) &amp; ":" &amp; ADDRESS(savings_max_row, COLUMN())))</f>
        <v>0</v>
      </c>
      <c r="AK71" s="21" cm="1">
        <f t="array" aca="1" ref="AK71" ca="1">SUM(INDIRECT(ADDRESS(savings_min_row, COLUMN()) &amp; ":" &amp; ADDRESS(savings_max_row, COLUMN())))</f>
        <v>0</v>
      </c>
      <c r="AL71" s="21" cm="1">
        <f t="array" aca="1" ref="AL71" ca="1">SUM(INDIRECT(ADDRESS(savings_min_row, COLUMN()) &amp; ":" &amp; ADDRESS(savings_max_row, COLUMN())))</f>
        <v>0</v>
      </c>
      <c r="AM71" s="21" cm="1">
        <f t="array" aca="1" ref="AM71" ca="1">SUM(INDIRECT(ADDRESS(savings_min_row, COLUMN()) &amp; ":" &amp; ADDRESS(savings_max_row, COLUMN())))</f>
        <v>0</v>
      </c>
      <c r="AN71" s="21" cm="1">
        <f t="array" aca="1" ref="AN71" ca="1">SUM(INDIRECT(ADDRESS(savings_min_row, COLUMN()) &amp; ":" &amp; ADDRESS(savings_max_row, COLUMN())))</f>
        <v>0</v>
      </c>
      <c r="AO71" s="21" cm="1">
        <f t="array" aca="1" ref="AO71" ca="1">SUM(INDIRECT(ADDRESS(savings_min_row, COLUMN()) &amp; ":" &amp; ADDRESS(savings_max_row, COLUMN())))</f>
        <v>0</v>
      </c>
      <c r="AP71" s="21" cm="1">
        <f t="array" aca="1" ref="AP71" ca="1">SUM(INDIRECT(ADDRESS(savings_min_row, COLUMN()) &amp; ":" &amp; ADDRESS(savings_max_row, COLUMN())))</f>
        <v>0</v>
      </c>
      <c r="AQ71" s="21" cm="1">
        <f t="array" aca="1" ref="AQ71" ca="1">SUM(INDIRECT(ADDRESS(savings_min_row, COLUMN()) &amp; ":" &amp; ADDRESS(savings_max_row, COLUMN())))</f>
        <v>0</v>
      </c>
      <c r="AR71" s="21" cm="1">
        <f t="array" aca="1" ref="AR71" ca="1">SUM(INDIRECT(ADDRESS(savings_min_row, COLUMN()) &amp; ":" &amp; ADDRESS(savings_max_row, COLUMN())))</f>
        <v>0</v>
      </c>
      <c r="AS71" s="21" cm="1">
        <f t="array" aca="1" ref="AS71" ca="1">SUM(INDIRECT(ADDRESS(savings_min_row, COLUMN()) &amp; ":" &amp; ADDRESS(savings_max_row, COLUMN())))</f>
        <v>0</v>
      </c>
      <c r="AU71" s="21" cm="1">
        <f t="array" aca="1" ref="AU71" ca="1">SUM(INDIRECT(ADDRESS(savings_min_row, COLUMN()) &amp; ":" &amp; ADDRESS(savings_max_row, COLUMN())))</f>
        <v>0</v>
      </c>
      <c r="AV71" s="21" cm="1">
        <f t="array" aca="1" ref="AV71" ca="1">SUM(INDIRECT(ADDRESS(savings_min_row, COLUMN()) &amp; ":" &amp; ADDRESS(savings_max_row, COLUMN())))</f>
        <v>0</v>
      </c>
      <c r="AW71" s="21" cm="1">
        <f t="array" aca="1" ref="AW71" ca="1">SUM(INDIRECT(ADDRESS(savings_min_row, COLUMN()) &amp; ":" &amp; ADDRESS(savings_max_row, COLUMN())))</f>
        <v>0</v>
      </c>
      <c r="AX71" s="21" cm="1">
        <f t="array" aca="1" ref="AX71" ca="1">SUM(INDIRECT(ADDRESS(savings_min_row, COLUMN()) &amp; ":" &amp; ADDRESS(savings_max_row, COLUMN())))</f>
        <v>0</v>
      </c>
      <c r="AY71" s="21" cm="1">
        <f t="array" aca="1" ref="AY71" ca="1">SUM(INDIRECT(ADDRESS(savings_min_row, COLUMN()) &amp; ":" &amp; ADDRESS(savings_max_row, COLUMN())))</f>
        <v>0</v>
      </c>
      <c r="AZ71" s="21" cm="1">
        <f t="array" aca="1" ref="AZ71" ca="1">SUM(INDIRECT(ADDRESS(savings_min_row, COLUMN()) &amp; ":" &amp; ADDRESS(savings_max_row, COLUMN())))</f>
        <v>0</v>
      </c>
      <c r="BA71" s="21" cm="1">
        <f t="array" aca="1" ref="BA71" ca="1">SUM(INDIRECT(ADDRESS(savings_min_row, COLUMN()) &amp; ":" &amp; ADDRESS(savings_max_row, COLUMN())))</f>
        <v>0</v>
      </c>
      <c r="BB71" s="21" cm="1">
        <f t="array" aca="1" ref="BB71" ca="1">SUM(INDIRECT(ADDRESS(savings_min_row, COLUMN()) &amp; ":" &amp; ADDRESS(savings_max_row, COLUMN())))</f>
        <v>0</v>
      </c>
      <c r="BC71" s="21" cm="1">
        <f t="array" aca="1" ref="BC71" ca="1">SUM(INDIRECT(ADDRESS(savings_min_row, COLUMN()) &amp; ":" &amp; ADDRESS(savings_max_row, COLUMN())))</f>
        <v>0</v>
      </c>
      <c r="BD71" s="21" cm="1">
        <f t="array" aca="1" ref="BD71" ca="1">SUM(INDIRECT(ADDRESS(savings_min_row, COLUMN()) &amp; ":" &amp; ADDRESS(savings_max_row, COLUMN())))</f>
        <v>0</v>
      </c>
      <c r="BE71" s="21" cm="1">
        <f t="array" aca="1" ref="BE71" ca="1">SUM(INDIRECT(ADDRESS(savings_min_row, COLUMN()) &amp; ":" &amp; ADDRESS(savings_max_row, COLUMN())))</f>
        <v>0</v>
      </c>
      <c r="BF71" s="21" cm="1">
        <f t="array" aca="1" ref="BF71" ca="1">SUM(INDIRECT(ADDRESS(savings_min_row, COLUMN()) &amp; ":" &amp; ADDRESS(savings_max_row, COLUMN())))</f>
        <v>0</v>
      </c>
      <c r="BG71" s="21" cm="1">
        <f t="array" aca="1" ref="BG71" ca="1">SUM(INDIRECT(ADDRESS(savings_min_row, COLUMN()) &amp; ":" &amp; ADDRESS(savings_max_row, COLUMN())))</f>
        <v>0</v>
      </c>
      <c r="BI71" s="21" cm="1">
        <f t="array" aca="1" ref="BI71" ca="1">SUM(INDIRECT(ADDRESS(savings_min_row, COLUMN()) &amp; ":" &amp; ADDRESS(savings_max_row, COLUMN())))</f>
        <v>0</v>
      </c>
      <c r="BJ71" s="21" cm="1">
        <f t="array" aca="1" ref="BJ71" ca="1">SUM(INDIRECT(ADDRESS(savings_min_row, COLUMN()) &amp; ":" &amp; ADDRESS(savings_max_row, COLUMN())))</f>
        <v>0</v>
      </c>
      <c r="BK71" s="21" cm="1">
        <f t="array" aca="1" ref="BK71" ca="1">SUM(INDIRECT(ADDRESS(savings_min_row, COLUMN()) &amp; ":" &amp; ADDRESS(savings_max_row, COLUMN())))</f>
        <v>0</v>
      </c>
      <c r="BL71" s="21" cm="1">
        <f t="array" aca="1" ref="BL71" ca="1">SUM(INDIRECT(ADDRESS(savings_min_row, COLUMN()) &amp; ":" &amp; ADDRESS(savings_max_row, COLUMN())))</f>
        <v>0</v>
      </c>
      <c r="BM71" s="21" cm="1">
        <f t="array" aca="1" ref="BM71" ca="1">SUM(INDIRECT(ADDRESS(savings_min_row, COLUMN()) &amp; ":" &amp; ADDRESS(savings_max_row, COLUMN())))</f>
        <v>0</v>
      </c>
      <c r="BN71" s="21" cm="1">
        <f t="array" aca="1" ref="BN71" ca="1">SUM(INDIRECT(ADDRESS(savings_min_row, COLUMN()) &amp; ":" &amp; ADDRESS(savings_max_row, COLUMN())))</f>
        <v>0</v>
      </c>
      <c r="BO71" s="21" cm="1">
        <f t="array" aca="1" ref="BO71" ca="1">SUM(INDIRECT(ADDRESS(savings_min_row, COLUMN()) &amp; ":" &amp; ADDRESS(savings_max_row, COLUMN())))</f>
        <v>0</v>
      </c>
      <c r="BP71" s="21" cm="1">
        <f t="array" aca="1" ref="BP71" ca="1">SUM(INDIRECT(ADDRESS(savings_min_row, COLUMN()) &amp; ":" &amp; ADDRESS(savings_max_row, COLUMN())))</f>
        <v>0</v>
      </c>
      <c r="BQ71" s="21" cm="1">
        <f t="array" aca="1" ref="BQ71" ca="1">SUM(INDIRECT(ADDRESS(savings_min_row, COLUMN()) &amp; ":" &amp; ADDRESS(savings_max_row, COLUMN())))</f>
        <v>0</v>
      </c>
      <c r="BR71" s="21" cm="1">
        <f t="array" aca="1" ref="BR71" ca="1">SUM(INDIRECT(ADDRESS(savings_min_row, COLUMN()) &amp; ":" &amp; ADDRESS(savings_max_row, COLUMN())))</f>
        <v>0</v>
      </c>
      <c r="BS71" s="21" cm="1">
        <f t="array" aca="1" ref="BS71" ca="1">SUM(INDIRECT(ADDRESS(savings_min_row, COLUMN()) &amp; ":" &amp; ADDRESS(savings_max_row, COLUMN())))</f>
        <v>0</v>
      </c>
      <c r="BT71" s="21" cm="1">
        <f t="array" aca="1" ref="BT71" ca="1">SUM(INDIRECT(ADDRESS(savings_min_row, COLUMN()) &amp; ":" &amp; ADDRESS(savings_max_row, COLUMN())))</f>
        <v>0</v>
      </c>
      <c r="BU71" s="21" cm="1">
        <f t="array" aca="1" ref="BU71" ca="1">SUM(INDIRECT(ADDRESS(savings_min_row, COLUMN()) &amp; ":" &amp; ADDRESS(savings_max_row, COLUMN())))</f>
        <v>0</v>
      </c>
      <c r="BW71" s="21" cm="1">
        <f t="array" aca="1" ref="BW71" ca="1">SUM(INDIRECT(ADDRESS(savings_min_row, COLUMN()) &amp; ":" &amp; ADDRESS(savings_max_row, COLUMN())))</f>
        <v>0</v>
      </c>
      <c r="BX71" s="21" cm="1">
        <f t="array" aca="1" ref="BX71" ca="1">SUM(INDIRECT(ADDRESS(savings_min_row, COLUMN()) &amp; ":" &amp; ADDRESS(savings_max_row, COLUMN())))</f>
        <v>0</v>
      </c>
      <c r="BY71" s="21" cm="1">
        <f t="array" aca="1" ref="BY71" ca="1">SUM(INDIRECT(ADDRESS(savings_min_row, COLUMN()) &amp; ":" &amp; ADDRESS(savings_max_row, COLUMN())))</f>
        <v>0</v>
      </c>
      <c r="BZ71" s="21" cm="1">
        <f t="array" aca="1" ref="BZ71" ca="1">SUM(INDIRECT(ADDRESS(savings_min_row, COLUMN()) &amp; ":" &amp; ADDRESS(savings_max_row, COLUMN())))</f>
        <v>0</v>
      </c>
      <c r="CA71" s="21" cm="1">
        <f t="array" aca="1" ref="CA71" ca="1">SUM(INDIRECT(ADDRESS(savings_min_row, COLUMN()) &amp; ":" &amp; ADDRESS(savings_max_row, COLUMN())))</f>
        <v>0</v>
      </c>
      <c r="CB71" s="21" cm="1">
        <f t="array" aca="1" ref="CB71" ca="1">SUM(INDIRECT(ADDRESS(savings_min_row, COLUMN()) &amp; ":" &amp; ADDRESS(savings_max_row, COLUMN())))</f>
        <v>0</v>
      </c>
      <c r="CC71" s="21" cm="1">
        <f t="array" aca="1" ref="CC71" ca="1">SUM(INDIRECT(ADDRESS(savings_min_row, COLUMN()) &amp; ":" &amp; ADDRESS(savings_max_row, COLUMN())))</f>
        <v>0</v>
      </c>
      <c r="CD71" s="21" cm="1">
        <f t="array" aca="1" ref="CD71" ca="1">SUM(INDIRECT(ADDRESS(savings_min_row, COLUMN()) &amp; ":" &amp; ADDRESS(savings_max_row, COLUMN())))</f>
        <v>0</v>
      </c>
      <c r="CE71" s="21" cm="1">
        <f t="array" aca="1" ref="CE71" ca="1">SUM(INDIRECT(ADDRESS(savings_min_row, COLUMN()) &amp; ":" &amp; ADDRESS(savings_max_row, COLUMN())))</f>
        <v>0</v>
      </c>
      <c r="CF71" s="21" cm="1">
        <f t="array" aca="1" ref="CF71" ca="1">SUM(INDIRECT(ADDRESS(savings_min_row, COLUMN()) &amp; ":" &amp; ADDRESS(savings_max_row, COLUMN())))</f>
        <v>0</v>
      </c>
      <c r="CG71" s="21" cm="1">
        <f t="array" aca="1" ref="CG71" ca="1">SUM(INDIRECT(ADDRESS(savings_min_row, COLUMN()) &amp; ":" &amp; ADDRESS(savings_max_row, COLUMN())))</f>
        <v>0</v>
      </c>
      <c r="CH71" s="21" cm="1">
        <f t="array" aca="1" ref="CH71" ca="1">SUM(INDIRECT(ADDRESS(savings_min_row, COLUMN()) &amp; ":" &amp; ADDRESS(savings_max_row, COLUMN())))</f>
        <v>0</v>
      </c>
      <c r="CI71" s="21" cm="1">
        <f t="array" aca="1" ref="CI71" ca="1">SUM(INDIRECT(ADDRESS(savings_min_row, COLUMN()) &amp; ":" &amp; ADDRESS(savings_max_row, COLUMN())))</f>
        <v>0</v>
      </c>
      <c r="CK71" s="21" cm="1">
        <f t="array" aca="1" ref="CK71" ca="1">SUM(INDIRECT(ADDRESS(savings_min_row, COLUMN()) &amp; ":" &amp; ADDRESS(savings_max_row, COLUMN())))</f>
        <v>0</v>
      </c>
      <c r="CL71" s="21" cm="1">
        <f t="array" aca="1" ref="CL71" ca="1">SUM(INDIRECT(ADDRESS(savings_min_row, COLUMN()) &amp; ":" &amp; ADDRESS(savings_max_row, COLUMN())))</f>
        <v>0</v>
      </c>
      <c r="CM71" s="21" cm="1">
        <f t="array" aca="1" ref="CM71" ca="1">SUM(INDIRECT(ADDRESS(savings_min_row, COLUMN()) &amp; ":" &amp; ADDRESS(savings_max_row, COLUMN())))</f>
        <v>0</v>
      </c>
      <c r="CN71" s="21" cm="1">
        <f t="array" aca="1" ref="CN71" ca="1">SUM(INDIRECT(ADDRESS(savings_min_row, COLUMN()) &amp; ":" &amp; ADDRESS(savings_max_row, COLUMN())))</f>
        <v>0</v>
      </c>
      <c r="CO71" s="21" cm="1">
        <f t="array" aca="1" ref="CO71" ca="1">SUM(INDIRECT(ADDRESS(savings_min_row, COLUMN()) &amp; ":" &amp; ADDRESS(savings_max_row, COLUMN())))</f>
        <v>0</v>
      </c>
      <c r="CP71" s="21" cm="1">
        <f t="array" aca="1" ref="CP71" ca="1">SUM(INDIRECT(ADDRESS(savings_min_row, COLUMN()) &amp; ":" &amp; ADDRESS(savings_max_row, COLUMN())))</f>
        <v>0</v>
      </c>
      <c r="CQ71" s="21" cm="1">
        <f t="array" aca="1" ref="CQ71" ca="1">SUM(INDIRECT(ADDRESS(savings_min_row, COLUMN()) &amp; ":" &amp; ADDRESS(savings_max_row, COLUMN())))</f>
        <v>0</v>
      </c>
      <c r="CR71" s="21" cm="1">
        <f t="array" aca="1" ref="CR71" ca="1">SUM(INDIRECT(ADDRESS(savings_min_row, COLUMN()) &amp; ":" &amp; ADDRESS(savings_max_row, COLUMN())))</f>
        <v>0</v>
      </c>
      <c r="CS71" s="21" cm="1">
        <f t="array" aca="1" ref="CS71" ca="1">SUM(INDIRECT(ADDRESS(savings_min_row, COLUMN()) &amp; ":" &amp; ADDRESS(savings_max_row, COLUMN())))</f>
        <v>0</v>
      </c>
      <c r="CT71" s="21" cm="1">
        <f t="array" aca="1" ref="CT71" ca="1">SUM(INDIRECT(ADDRESS(savings_min_row, COLUMN()) &amp; ":" &amp; ADDRESS(savings_max_row, COLUMN())))</f>
        <v>0</v>
      </c>
      <c r="CU71" s="21" cm="1">
        <f t="array" aca="1" ref="CU71" ca="1">SUM(INDIRECT(ADDRESS(savings_min_row, COLUMN()) &amp; ":" &amp; ADDRESS(savings_max_row, COLUMN())))</f>
        <v>0</v>
      </c>
      <c r="CV71" s="21" cm="1">
        <f t="array" aca="1" ref="CV71" ca="1">SUM(INDIRECT(ADDRESS(savings_min_row, COLUMN()) &amp; ":" &amp; ADDRESS(savings_max_row, COLUMN())))</f>
        <v>0</v>
      </c>
      <c r="CW71" s="21" cm="1">
        <f t="array" aca="1" ref="CW71" ca="1">SUM(INDIRECT(ADDRESS(savings_min_row, COLUMN()) &amp; ":" &amp; ADDRESS(savings_max_row, COLUMN())))</f>
        <v>0</v>
      </c>
      <c r="CY71" s="21" cm="1">
        <f t="array" aca="1" ref="CY71" ca="1">SUM(INDIRECT(ADDRESS(savings_min_row, COLUMN()) &amp; ":" &amp; ADDRESS(savings_max_row, COLUMN())))</f>
        <v>0</v>
      </c>
      <c r="CZ71" s="21" cm="1">
        <f t="array" aca="1" ref="CZ71" ca="1">SUM(INDIRECT(ADDRESS(savings_min_row, COLUMN()) &amp; ":" &amp; ADDRESS(savings_max_row, COLUMN())))</f>
        <v>0</v>
      </c>
      <c r="DA71" s="21" cm="1">
        <f t="array" aca="1" ref="DA71" ca="1">SUM(INDIRECT(ADDRESS(savings_min_row, COLUMN()) &amp; ":" &amp; ADDRESS(savings_max_row, COLUMN())))</f>
        <v>0</v>
      </c>
      <c r="DB71" s="21" cm="1">
        <f t="array" aca="1" ref="DB71" ca="1">SUM(INDIRECT(ADDRESS(savings_min_row, COLUMN()) &amp; ":" &amp; ADDRESS(savings_max_row, COLUMN())))</f>
        <v>0</v>
      </c>
      <c r="DC71" s="21" cm="1">
        <f t="array" aca="1" ref="DC71" ca="1">SUM(INDIRECT(ADDRESS(savings_min_row, COLUMN()) &amp; ":" &amp; ADDRESS(savings_max_row, COLUMN())))</f>
        <v>0</v>
      </c>
      <c r="DD71" s="21" cm="1">
        <f t="array" aca="1" ref="DD71" ca="1">SUM(INDIRECT(ADDRESS(savings_min_row, COLUMN()) &amp; ":" &amp; ADDRESS(savings_max_row, COLUMN())))</f>
        <v>0</v>
      </c>
      <c r="DE71" s="21" cm="1">
        <f t="array" aca="1" ref="DE71" ca="1">SUM(INDIRECT(ADDRESS(savings_min_row, COLUMN()) &amp; ":" &amp; ADDRESS(savings_max_row, COLUMN())))</f>
        <v>0</v>
      </c>
      <c r="DF71" s="21" cm="1">
        <f t="array" aca="1" ref="DF71" ca="1">SUM(INDIRECT(ADDRESS(savings_min_row, COLUMN()) &amp; ":" &amp; ADDRESS(savings_max_row, COLUMN())))</f>
        <v>0</v>
      </c>
      <c r="DG71" s="21" cm="1">
        <f t="array" aca="1" ref="DG71" ca="1">SUM(INDIRECT(ADDRESS(savings_min_row, COLUMN()) &amp; ":" &amp; ADDRESS(savings_max_row, COLUMN())))</f>
        <v>0</v>
      </c>
      <c r="DH71" s="21" cm="1">
        <f t="array" aca="1" ref="DH71" ca="1">SUM(INDIRECT(ADDRESS(savings_min_row, COLUMN()) &amp; ":" &amp; ADDRESS(savings_max_row, COLUMN())))</f>
        <v>0</v>
      </c>
      <c r="DI71" s="21" cm="1">
        <f t="array" aca="1" ref="DI71" ca="1">SUM(INDIRECT(ADDRESS(savings_min_row, COLUMN()) &amp; ":" &amp; ADDRESS(savings_max_row, COLUMN())))</f>
        <v>0</v>
      </c>
      <c r="DJ71" s="21" cm="1">
        <f t="array" aca="1" ref="DJ71" ca="1">SUM(INDIRECT(ADDRESS(savings_min_row, COLUMN()) &amp; ":" &amp; ADDRESS(savings_max_row, COLUMN())))</f>
        <v>0</v>
      </c>
      <c r="DK71" s="21" cm="1">
        <f t="array" aca="1" ref="DK71" ca="1">SUM(INDIRECT(ADDRESS(savings_min_row, COLUMN()) &amp; ":" &amp; ADDRESS(savings_max_row, COLUMN())))</f>
        <v>0</v>
      </c>
      <c r="DM71" s="21" cm="1">
        <f t="array" aca="1" ref="DM71" ca="1">SUM(INDIRECT(ADDRESS(savings_min_row, COLUMN()) &amp; ":" &amp; ADDRESS(savings_max_row, COLUMN())))</f>
        <v>0</v>
      </c>
      <c r="DN71" s="21" cm="1">
        <f t="array" aca="1" ref="DN71" ca="1">SUM(INDIRECT(ADDRESS(savings_min_row, COLUMN()) &amp; ":" &amp; ADDRESS(savings_max_row, COLUMN())))</f>
        <v>0</v>
      </c>
      <c r="DO71" s="21" cm="1">
        <f t="array" aca="1" ref="DO71" ca="1">SUM(INDIRECT(ADDRESS(savings_min_row, COLUMN()) &amp; ":" &amp; ADDRESS(savings_max_row, COLUMN())))</f>
        <v>0</v>
      </c>
      <c r="DP71" s="21" cm="1">
        <f t="array" aca="1" ref="DP71" ca="1">SUM(INDIRECT(ADDRESS(savings_min_row, COLUMN()) &amp; ":" &amp; ADDRESS(savings_max_row, COLUMN())))</f>
        <v>0</v>
      </c>
      <c r="DQ71" s="21" cm="1">
        <f t="array" aca="1" ref="DQ71" ca="1">SUM(INDIRECT(ADDRESS(savings_min_row, COLUMN()) &amp; ":" &amp; ADDRESS(savings_max_row, COLUMN())))</f>
        <v>0</v>
      </c>
      <c r="DR71" s="21" cm="1">
        <f t="array" aca="1" ref="DR71" ca="1">SUM(INDIRECT(ADDRESS(savings_min_row, COLUMN()) &amp; ":" &amp; ADDRESS(savings_max_row, COLUMN())))</f>
        <v>0</v>
      </c>
      <c r="DS71" s="21" cm="1">
        <f t="array" aca="1" ref="DS71" ca="1">SUM(INDIRECT(ADDRESS(savings_min_row, COLUMN()) &amp; ":" &amp; ADDRESS(savings_max_row, COLUMN())))</f>
        <v>0</v>
      </c>
      <c r="DT71" s="21" cm="1">
        <f t="array" aca="1" ref="DT71" ca="1">SUM(INDIRECT(ADDRESS(savings_min_row, COLUMN()) &amp; ":" &amp; ADDRESS(savings_max_row, COLUMN())))</f>
        <v>0</v>
      </c>
      <c r="DU71" s="21" cm="1">
        <f t="array" aca="1" ref="DU71" ca="1">SUM(INDIRECT(ADDRESS(savings_min_row, COLUMN()) &amp; ":" &amp; ADDRESS(savings_max_row, COLUMN())))</f>
        <v>0</v>
      </c>
      <c r="DV71" s="21" cm="1">
        <f t="array" aca="1" ref="DV71" ca="1">SUM(INDIRECT(ADDRESS(savings_min_row, COLUMN()) &amp; ":" &amp; ADDRESS(savings_max_row, COLUMN())))</f>
        <v>0</v>
      </c>
      <c r="DW71" s="21" cm="1">
        <f t="array" aca="1" ref="DW71" ca="1">SUM(INDIRECT(ADDRESS(savings_min_row, COLUMN()) &amp; ":" &amp; ADDRESS(savings_max_row, COLUMN())))</f>
        <v>0</v>
      </c>
      <c r="DX71" s="21" cm="1">
        <f t="array" aca="1" ref="DX71" ca="1">SUM(INDIRECT(ADDRESS(savings_min_row, COLUMN()) &amp; ":" &amp; ADDRESS(savings_max_row, COLUMN())))</f>
        <v>0</v>
      </c>
      <c r="DY71" s="21" cm="1">
        <f t="array" aca="1" ref="DY71" ca="1">SUM(INDIRECT(ADDRESS(savings_min_row, COLUMN()) &amp; ":" &amp; ADDRESS(savings_max_row, COLUMN())))</f>
        <v>0</v>
      </c>
      <c r="EA71" s="21" cm="1">
        <f t="array" aca="1" ref="EA71" ca="1">SUM(INDIRECT(ADDRESS(savings_min_row, COLUMN()) &amp; ":" &amp; ADDRESS(savings_max_row, COLUMN())))</f>
        <v>0</v>
      </c>
      <c r="EB71" s="21" cm="1">
        <f t="array" aca="1" ref="EB71" ca="1">SUM(INDIRECT(ADDRESS(savings_min_row, COLUMN()) &amp; ":" &amp; ADDRESS(savings_max_row, COLUMN())))</f>
        <v>0</v>
      </c>
      <c r="EC71" s="21" cm="1">
        <f t="array" aca="1" ref="EC71" ca="1">SUM(INDIRECT(ADDRESS(savings_min_row, COLUMN()) &amp; ":" &amp; ADDRESS(savings_max_row, COLUMN())))</f>
        <v>0</v>
      </c>
      <c r="ED71" s="21" cm="1">
        <f t="array" aca="1" ref="ED71" ca="1">SUM(INDIRECT(ADDRESS(savings_min_row, COLUMN()) &amp; ":" &amp; ADDRESS(savings_max_row, COLUMN())))</f>
        <v>0</v>
      </c>
      <c r="EE71" s="21" cm="1">
        <f t="array" aca="1" ref="EE71" ca="1">SUM(INDIRECT(ADDRESS(savings_min_row, COLUMN()) &amp; ":" &amp; ADDRESS(savings_max_row, COLUMN())))</f>
        <v>0</v>
      </c>
      <c r="EF71" s="21" cm="1">
        <f t="array" aca="1" ref="EF71" ca="1">SUM(INDIRECT(ADDRESS(savings_min_row, COLUMN()) &amp; ":" &amp; ADDRESS(savings_max_row, COLUMN())))</f>
        <v>0</v>
      </c>
      <c r="EG71" s="21" cm="1">
        <f t="array" aca="1" ref="EG71" ca="1">SUM(INDIRECT(ADDRESS(savings_min_row, COLUMN()) &amp; ":" &amp; ADDRESS(savings_max_row, COLUMN())))</f>
        <v>0</v>
      </c>
      <c r="EH71" s="21" cm="1">
        <f t="array" aca="1" ref="EH71" ca="1">SUM(INDIRECT(ADDRESS(savings_min_row, COLUMN()) &amp; ":" &amp; ADDRESS(savings_max_row, COLUMN())))</f>
        <v>0</v>
      </c>
      <c r="EI71" s="21" cm="1">
        <f t="array" aca="1" ref="EI71" ca="1">SUM(INDIRECT(ADDRESS(savings_min_row, COLUMN()) &amp; ":" &amp; ADDRESS(savings_max_row, COLUMN())))</f>
        <v>0</v>
      </c>
      <c r="EJ71" s="21" cm="1">
        <f t="array" aca="1" ref="EJ71" ca="1">SUM(INDIRECT(ADDRESS(savings_min_row, COLUMN()) &amp; ":" &amp; ADDRESS(savings_max_row, COLUMN())))</f>
        <v>0</v>
      </c>
      <c r="EK71" s="21" cm="1">
        <f t="array" aca="1" ref="EK71" ca="1">SUM(INDIRECT(ADDRESS(savings_min_row, COLUMN()) &amp; ":" &amp; ADDRESS(savings_max_row, COLUMN())))</f>
        <v>0</v>
      </c>
      <c r="EL71" s="21" cm="1">
        <f t="array" aca="1" ref="EL71" ca="1">SUM(INDIRECT(ADDRESS(savings_min_row, COLUMN()) &amp; ":" &amp; ADDRESS(savings_max_row, COLUMN())))</f>
        <v>0</v>
      </c>
      <c r="EM71" s="21" cm="1">
        <f t="array" aca="1" ref="EM71" ca="1">SUM(INDIRECT(ADDRESS(savings_min_row, COLUMN()) &amp; ":" &amp; ADDRESS(savings_max_row, COLUMN())))</f>
        <v>0</v>
      </c>
    </row>
  </sheetData>
  <mergeCells count="10">
    <mergeCell ref="E5:Q5"/>
    <mergeCell ref="S5:AE5"/>
    <mergeCell ref="AG5:AS5"/>
    <mergeCell ref="AU5:BG5"/>
    <mergeCell ref="BI5:BU5"/>
    <mergeCell ref="BW5:CI5"/>
    <mergeCell ref="CK5:CW5"/>
    <mergeCell ref="CY5:DK5"/>
    <mergeCell ref="DM5:DY5"/>
    <mergeCell ref="EA5:EM5"/>
  </mergeCells>
  <conditionalFormatting sqref="C10:C19 E10:Q19 S10:AE19 AG10:AS19 AU10:BG19 BI10:BU19 BW10:CI19 CK10:CW19 CY10:DK19 DM10:DY19 EA10:EM19">
    <cfRule type="expression" dxfId="33" priority="6">
      <formula>ROW(A10)&lt;=income_max_row</formula>
    </cfRule>
  </conditionalFormatting>
  <conditionalFormatting sqref="C23:C57 E23:Q57 S23:AE57 AG23:AS57 AU23:BG57 BI23:BU57 BW23:CI57 CK23:CW57 CY23:DK57 DM23:DY57 EA23:EM57">
    <cfRule type="expression" dxfId="32" priority="5">
      <formula>ROW(A23)&lt;=expenses_max_row</formula>
    </cfRule>
  </conditionalFormatting>
  <conditionalFormatting sqref="C61:C70 E61:Q70 S61:AE70 AG61:AS70 AU61:BG70 BI61:BU70 BW61:CI70 CK61:CW70 CY61:DK70 DM61:DY70 EA61:EM70">
    <cfRule type="expression" dxfId="31" priority="4">
      <formula>ROW(A61)&lt;=savings_max_row</formula>
    </cfRule>
  </conditionalFormatting>
  <conditionalFormatting sqref="E6:Q7 S6:AE7 AG6:AS7 AU6:BG7 BI6:BU7 BW6:CI7 CK6:CW7 CY6:DK7 DM6:DY7 EA6:EM7">
    <cfRule type="expression" dxfId="30" priority="38" stopIfTrue="1">
      <formula>AND(E$20=0, E$58=0, E$71=0)</formula>
    </cfRule>
    <cfRule type="expression" dxfId="29" priority="39" stopIfTrue="1">
      <formula>E$7=0</formula>
    </cfRule>
    <cfRule type="expression" dxfId="28" priority="40">
      <formula>E$7&lt;0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7812-C1D6-4F5E-9E55-5F0959DBC947}">
  <sheetPr>
    <tabColor theme="0"/>
  </sheetPr>
  <dimension ref="B1:M12"/>
  <sheetViews>
    <sheetView showGridLines="0" zoomScaleNormal="100" workbookViewId="0">
      <pane ySplit="11" topLeftCell="A12" activePane="bottomLeft" state="frozen"/>
      <selection pane="bottomLeft" activeCell="C12" sqref="C12"/>
    </sheetView>
  </sheetViews>
  <sheetFormatPr defaultRowHeight="15" x14ac:dyDescent="0.2"/>
  <cols>
    <col min="1" max="1" width="5.51171875" customWidth="1"/>
    <col min="2" max="2" width="2.82421875" customWidth="1"/>
    <col min="3" max="4" width="14.390625" customWidth="1"/>
    <col min="5" max="5" width="27.7109375" customWidth="1"/>
    <col min="6" max="6" width="16.6796875" customWidth="1"/>
    <col min="7" max="7" width="28.25" customWidth="1"/>
    <col min="8" max="8" width="16.6796875" customWidth="1"/>
    <col min="9" max="9" width="17.75390625" customWidth="1"/>
  </cols>
  <sheetData>
    <row r="1" spans="2:13" s="1" customFormat="1" ht="7.15" customHeight="1" x14ac:dyDescent="0.2"/>
    <row r="2" spans="2:13" s="1" customFormat="1" ht="27.6" customHeight="1" x14ac:dyDescent="0.35">
      <c r="B2" s="2" t="s">
        <v>1</v>
      </c>
    </row>
    <row r="3" spans="2:13" s="1" customFormat="1" ht="7.15" customHeight="1" x14ac:dyDescent="0.2"/>
    <row r="11" spans="2:13" x14ac:dyDescent="0.2">
      <c r="C11" s="31" t="s">
        <v>18</v>
      </c>
      <c r="D11" s="31" t="s">
        <v>19</v>
      </c>
      <c r="E11" s="31" t="s">
        <v>20</v>
      </c>
      <c r="F11" s="31" t="s">
        <v>21</v>
      </c>
      <c r="G11" s="31" t="s">
        <v>22</v>
      </c>
      <c r="H11" s="36" t="s">
        <v>23</v>
      </c>
      <c r="I11" s="36" t="s">
        <v>24</v>
      </c>
    </row>
    <row r="12" spans="2:13" x14ac:dyDescent="0.2">
      <c r="C12" s="33"/>
      <c r="D12" s="32"/>
      <c r="E12" s="32"/>
      <c r="F12" s="34"/>
      <c r="G12" s="35"/>
      <c r="H12" s="37" t="str" cm="1">
        <f t="array" ref="H12">IFERROR(SUMPRODUCT(Tracking[Amount], --(Tracking[Date]&lt;=Tracking[[#This Row],[Date]]), (Tracking[Type]&lt;&gt;"Income") * (-1) + (Tracking[Type]="Income")), "-")</f>
        <v>-</v>
      </c>
      <c r="I12" s="39">
        <f>IF(AND(Tracking[[#This Row],[Type]]="Income", shift_late_income_status="Active", DAY(Tracking[[#This Row],[Date]])&gt;=shift_late_income_starting_day),
      DATE(YEAR(Tracking[[#This Row],[Date]]), MONTH(Tracking[[#This Row],[Date]])+1, 1),
      Tracking[[#This Row],[Date]])</f>
        <v>0</v>
      </c>
      <c r="K12" s="53"/>
      <c r="M12" s="53"/>
    </row>
  </sheetData>
  <conditionalFormatting sqref="E12">
    <cfRule type="expression" dxfId="27" priority="3">
      <formula>ISNA(MATCH(E12, INDIRECT(D12), 0))</formula>
    </cfRule>
  </conditionalFormatting>
  <conditionalFormatting sqref="F12">
    <cfRule type="expression" dxfId="26" priority="2">
      <formula>D12="Income"</formula>
    </cfRule>
  </conditionalFormatting>
  <conditionalFormatting sqref="I12">
    <cfRule type="expression" dxfId="25" priority="1">
      <formula>AND(D12="Income", shift_late_income_status="Active", DAY(C12)&gt;=shift_late_income_starting_day)</formula>
    </cfRule>
  </conditionalFormatting>
  <dataValidations count="4">
    <dataValidation type="date" operator="greaterThan" allowBlank="1" showInputMessage="1" showErrorMessage="1" errorTitle="Invalid Date" error="Please enter a valid date." sqref="C12" xr:uid="{BFE604CB-E0EC-43CC-BB9B-C331D6410DBB}">
      <formula1>1</formula1>
    </dataValidation>
    <dataValidation type="list" allowBlank="1" showInputMessage="1" showErrorMessage="1" errorTitle="Invalid Type" error="Please select a valid type from the dropdown list." sqref="D12" xr:uid="{86D1084A-1331-49D9-B821-4B730F71DFA7}">
      <formula1>"Income, Expenses, Savings"</formula1>
    </dataValidation>
    <dataValidation type="custom" allowBlank="1" showInputMessage="1" showErrorMessage="1" errorTitle="Invalid Amount" error="Please enter a valid number." sqref="F12" xr:uid="{078C86E2-1061-4DDB-B671-BFF1D64E9E36}">
      <formula1>ISNUMBER(F12)</formula1>
    </dataValidation>
    <dataValidation type="list" allowBlank="1" showInputMessage="1" showErrorMessage="1" errorTitle="Invalid Category" error="Please select a valid category from the dropdown list." sqref="E12" xr:uid="{9B253D40-FFD2-4AB4-8F75-7F8BAFD5D7A1}">
      <formula1>INDIRECT(D12)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4170-1F35-459F-8DAA-775747269D1B}">
  <sheetPr>
    <tabColor theme="2"/>
  </sheetPr>
  <dimension ref="B1:AR120"/>
  <sheetViews>
    <sheetView showGridLines="0" tabSelected="1" zoomScaleNormal="100" workbookViewId="0">
      <selection activeCell="AQ9" sqref="AQ9:AR9"/>
    </sheetView>
  </sheetViews>
  <sheetFormatPr defaultRowHeight="15" x14ac:dyDescent="0.2"/>
  <cols>
    <col min="1" max="1" width="5.51171875" customWidth="1"/>
    <col min="2" max="2" width="2.82421875" customWidth="1"/>
    <col min="3" max="3" width="8.875" hidden="1" customWidth="1"/>
    <col min="4" max="4" width="11.02734375" hidden="1" customWidth="1"/>
    <col min="5" max="9" width="8.875" hidden="1" customWidth="1"/>
    <col min="10" max="10" width="25.9609375" hidden="1" customWidth="1"/>
    <col min="11" max="12" width="8.875" hidden="1" customWidth="1"/>
    <col min="13" max="13" width="9.953125" hidden="1" customWidth="1"/>
    <col min="14" max="14" width="10.0859375" hidden="1" customWidth="1"/>
    <col min="15" max="15" width="12.77734375" hidden="1" customWidth="1"/>
    <col min="16" max="16" width="11.1640625" hidden="1" customWidth="1"/>
    <col min="17" max="17" width="12.375" hidden="1" customWidth="1"/>
    <col min="18" max="18" width="11.1640625" hidden="1" customWidth="1"/>
    <col min="19" max="21" width="13.046875" hidden="1" customWidth="1"/>
    <col min="22" max="22" width="20.04296875" hidden="1" customWidth="1"/>
    <col min="23" max="23" width="13.71875" hidden="1" customWidth="1"/>
    <col min="24" max="24" width="19.50390625" hidden="1" customWidth="1"/>
    <col min="25" max="25" width="27.0390625" customWidth="1"/>
    <col min="26" max="27" width="10.4921875" customWidth="1"/>
    <col min="28" max="28" width="8.203125" customWidth="1"/>
    <col min="29" max="30" width="10.4921875" customWidth="1"/>
    <col min="31" max="31" width="3.8984375" customWidth="1"/>
    <col min="32" max="33" width="15.06640625" customWidth="1"/>
    <col min="34" max="34" width="1.8828125" customWidth="1"/>
    <col min="35" max="35" width="15.6015625" customWidth="1"/>
    <col min="36" max="36" width="8.609375" customWidth="1"/>
    <col min="37" max="37" width="6.45703125" customWidth="1"/>
    <col min="38" max="38" width="3.49609375" customWidth="1"/>
    <col min="39" max="40" width="15.06640625" customWidth="1"/>
    <col min="41" max="41" width="1.8828125" customWidth="1"/>
    <col min="42" max="42" width="15.6015625" customWidth="1"/>
    <col min="43" max="43" width="8.609375" customWidth="1"/>
    <col min="44" max="44" width="6.45703125" customWidth="1"/>
  </cols>
  <sheetData>
    <row r="1" spans="2:44" s="1" customFormat="1" ht="7.15" customHeight="1" x14ac:dyDescent="0.2"/>
    <row r="2" spans="2:44" s="1" customFormat="1" ht="27.6" customHeight="1" x14ac:dyDescent="0.35">
      <c r="B2" s="2" t="s">
        <v>5</v>
      </c>
    </row>
    <row r="3" spans="2:44" s="1" customFormat="1" ht="7.15" customHeight="1" x14ac:dyDescent="0.2"/>
    <row r="5" spans="2:44" x14ac:dyDescent="0.2">
      <c r="AQ5" s="90" t="s">
        <v>38</v>
      </c>
      <c r="AR5" s="91"/>
    </row>
    <row r="6" spans="2:44" x14ac:dyDescent="0.2">
      <c r="AN6" s="93" t="s">
        <v>39</v>
      </c>
      <c r="AO6" s="93"/>
      <c r="AP6" s="93"/>
      <c r="AQ6" s="92" t="s">
        <v>43</v>
      </c>
      <c r="AR6" s="92"/>
    </row>
    <row r="8" spans="2:44" x14ac:dyDescent="0.2">
      <c r="AQ8" s="90" t="s">
        <v>40</v>
      </c>
      <c r="AR8" s="91"/>
    </row>
    <row r="9" spans="2:44" x14ac:dyDescent="0.2">
      <c r="AN9" s="93" t="s">
        <v>41</v>
      </c>
      <c r="AO9" s="93"/>
      <c r="AP9" s="93"/>
      <c r="AQ9" s="94" t="s">
        <v>46</v>
      </c>
      <c r="AR9" s="94"/>
    </row>
    <row r="11" spans="2:44" x14ac:dyDescent="0.2">
      <c r="C11" s="42"/>
      <c r="D11" s="42"/>
      <c r="E11" s="42"/>
      <c r="F11" s="42"/>
      <c r="G11" s="42"/>
      <c r="H11" s="42"/>
      <c r="I11" s="42"/>
      <c r="J11" s="42"/>
      <c r="K11" s="42"/>
      <c r="L11" s="42"/>
      <c r="M11" s="42"/>
      <c r="N11" s="42"/>
      <c r="O11" s="42"/>
      <c r="P11" s="42"/>
      <c r="Q11" s="42"/>
      <c r="R11" s="42"/>
      <c r="S11" s="42"/>
      <c r="T11" s="42"/>
      <c r="U11" s="42"/>
      <c r="V11" s="42"/>
      <c r="W11" s="42"/>
      <c r="X11" s="42"/>
      <c r="Y11" s="89" t="str">
        <f ca="1">"Breakdown - " &amp;
  IF(selected_period="Total Year",
      selected_year &amp; " (Total Year)",
      selected_period_display &amp; " " &amp; selected_year)</f>
        <v>Breakdown - February 2025</v>
      </c>
      <c r="Z11" s="89"/>
      <c r="AA11" s="89"/>
      <c r="AB11" s="89"/>
      <c r="AC11" s="89"/>
      <c r="AD11" s="89"/>
      <c r="AF11" s="89" t="str">
        <f ca="1">"Summary - " &amp;
  IF(selected_period="Total Year",
      selected_year &amp; " (Total Year)",
      selected_period_display &amp; " " &amp; selected_year)</f>
        <v>Summary - February 2025</v>
      </c>
      <c r="AG11" s="89"/>
      <c r="AH11" s="89"/>
      <c r="AI11" s="89"/>
      <c r="AJ11" s="89"/>
      <c r="AK11" s="89"/>
      <c r="AL11" s="89"/>
      <c r="AM11" s="89"/>
      <c r="AN11" s="89"/>
      <c r="AO11" s="89"/>
      <c r="AP11" s="89"/>
      <c r="AQ11" s="89"/>
      <c r="AR11" s="89"/>
    </row>
    <row r="12" spans="2:44" x14ac:dyDescent="0.2">
      <c r="C12" s="50" t="s">
        <v>51</v>
      </c>
      <c r="D12" s="51" t="s">
        <v>52</v>
      </c>
      <c r="E12" s="50" t="s">
        <v>53</v>
      </c>
      <c r="F12" s="52" t="s">
        <v>54</v>
      </c>
      <c r="G12" s="52" t="s">
        <v>55</v>
      </c>
      <c r="H12" s="51" t="s">
        <v>56</v>
      </c>
      <c r="I12" s="50" t="s">
        <v>57</v>
      </c>
      <c r="J12" s="52" t="s">
        <v>58</v>
      </c>
      <c r="K12" s="52" t="s">
        <v>59</v>
      </c>
      <c r="L12" s="51" t="s">
        <v>60</v>
      </c>
      <c r="M12" s="50" t="s">
        <v>61</v>
      </c>
      <c r="N12" s="51" t="s">
        <v>62</v>
      </c>
      <c r="O12" s="50" t="s">
        <v>63</v>
      </c>
      <c r="P12" s="52" t="s">
        <v>64</v>
      </c>
      <c r="Q12" s="52" t="s">
        <v>65</v>
      </c>
      <c r="R12" s="51" t="s">
        <v>66</v>
      </c>
      <c r="S12" s="50" t="s">
        <v>67</v>
      </c>
      <c r="T12" s="52" t="s">
        <v>68</v>
      </c>
      <c r="U12" s="52" t="s">
        <v>69</v>
      </c>
      <c r="V12" s="52" t="s">
        <v>70</v>
      </c>
      <c r="W12" s="51" t="s">
        <v>71</v>
      </c>
      <c r="X12" s="56" t="s">
        <v>72</v>
      </c>
    </row>
    <row r="13" spans="2:44" x14ac:dyDescent="0.2">
      <c r="C13" s="6" cm="1">
        <f t="array" aca="1" ref="C13" ca="1">income_header_row</f>
        <v>9</v>
      </c>
      <c r="D13" s="7">
        <f t="shared" ref="D13:D120" ca="1" si="0">IF(is_header, row_id,
      IF(NOT(is_empty), D12,-1))</f>
        <v>9</v>
      </c>
      <c r="E13" s="6" cm="1">
        <f t="array" aca="1" ref="E13" ca="1">1*OR(row_id=income_header_row, row_id=expenses_header_row, row_id=savings_header_row)</f>
        <v>1</v>
      </c>
      <c r="F13">
        <f t="shared" ref="F13:F120" ca="1" si="1">1*NOT(OR(is_header, is_total, is_empty))</f>
        <v>0</v>
      </c>
      <c r="G13" cm="1">
        <f t="array" aca="1" ref="G13" ca="1">1*OR(row_id=income_total_row, row_id=expenses_total_row, row_id=savings_total_row)</f>
        <v>0</v>
      </c>
      <c r="H13" s="7">
        <f t="shared" ref="H13:H120" ca="1" si="2">1*OR(row_id="/1", row_id="/2", row_id=-1)</f>
        <v>0</v>
      </c>
      <c r="I13" s="6" t="str" cm="1">
        <f t="array" aca="1" ref="I13" ca="1">IFERROR(INDEX('Budget Planning'!$C:$C, header_row_id),"")</f>
        <v>Income</v>
      </c>
      <c r="J13" t="str" cm="1">
        <f t="array" aca="1" ref="J13" ca="1">IFERROR(INDEX('Budget Planning'!$C:$C, row_id),"")</f>
        <v>Income</v>
      </c>
      <c r="K13" s="54" t="str" cm="1">
        <f t="array" aca="1" ref="K1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3" s="55" t="str" cm="1">
        <f t="array" aca="1" ref="L13" ca="1">IF(OR(is_header, is_empty), "",
      INDEX('Budget Planning'!$E:$EM, row_id,
                  MATCH(IF(selected_period="Total Year", selected_year, DATE(selected_year, selected_period, 1)), 'Budget Planning'!$E$9:$EM$9, 0)  ))</f>
        <v/>
      </c>
      <c r="M13" s="6" t="str" cm="1">
        <f t="array" aca="1" ref="M13" ca="1">IF(is_cat,
       IF(header_row_id=income_header_row, MATCH(income_min_row, $C:$C, 0),
           IF(header_row_id=expenses_header_row, MATCH(expenses_min_row, $C:$C, 0),
               IF(header_row_id=savings_header_row, MATCH(savings_min_row, $C:$C, 0),""))), "")</f>
        <v/>
      </c>
      <c r="N13" s="7" t="str" cm="1">
        <f t="array" aca="1" ref="N13" ca="1">IF(is_cat,
       IF(header_row_id=income_header_row, MATCH(income_max_row, $C:$C, 0),
           IF(header_row_id=expenses_header_row, MATCH(expenses_max_row, $C:$C, 0),
               IF(header_row_id=savings_header_row, MATCH(savings_max_row, $C:$C, 0),""))), "")</f>
        <v/>
      </c>
      <c r="O13" s="6" t="str">
        <f t="shared" ref="O13:O120" ca="1" si="3">IF(is_cat, ADDRESS(sort_min_row, COLUMN(tracked)) &amp; ":" &amp; ADDRESS(sort_max_row, COLUMN(tracked)), "")</f>
        <v/>
      </c>
      <c r="P13" t="str">
        <f t="shared" ref="P13:P120" ca="1" si="4">IF(is_cat, RANK(tracked, INDIRECT(tracked_range), 0), "")</f>
        <v/>
      </c>
      <c r="Q13" t="str">
        <f t="shared" ref="Q13:Q120" ca="1" si="5">IF(is_cat, ADDRESS(sort_min_row, COLUMN(budget)) &amp; ":" &amp; ADDRESS(sort_max_row, COLUMN(budget)), "")</f>
        <v/>
      </c>
      <c r="R13" s="7" t="str">
        <f t="shared" ref="R13:R120" ca="1" si="6">IF(is_cat, RANK(budget, INDIRECT(budget_range), 0), "")</f>
        <v/>
      </c>
      <c r="S13" s="6" t="str">
        <f ca="1">IF(is_cat, _xlfn.NUMBERVALUE( tracked_rank &amp; IF(LEN(budget_rank)=1, "0", "") &amp; budget_rank), "")</f>
        <v/>
      </c>
      <c r="T13" t="str">
        <f t="shared" ref="T13:T120" ca="1" si="7">IF(is_cat, ADDRESS(sort_min_row, COLUMN(comb_rank)) &amp; ":" &amp; ADDRESS(sort_max_row, COLUMN(comb_rank)), "")</f>
        <v/>
      </c>
      <c r="U13" t="str">
        <f t="shared" ref="U13:U120" ca="1" si="8">IF(is_cat, RANK(comb_rank, INDIRECT(comb_rank_range), 1), "")</f>
        <v/>
      </c>
      <c r="V13" t="str">
        <f t="shared" ref="V13:V120" ca="1" si="9">IF(is_cat, ADDRESS(sort_min_row, COLUMN(comb_rank_norm)) &amp; ":" &amp; ADDRESS(ROW(), COLUMN(comb_rank_norm)), "")</f>
        <v/>
      </c>
      <c r="W13" s="7" t="str">
        <f t="shared" ref="W13:W120" ca="1" si="10">IF(is_cat, comb_rank_norm + COUNTIF(INDIRECT(comb_rank_norm_run_range), comb_rank_norm)-1, "")</f>
        <v/>
      </c>
      <c r="X13" s="57">
        <f t="shared" ref="X13:X120" ca="1" si="11">IF(is_cat, header_row_id + comb_rank_unique, row_id)</f>
        <v>9</v>
      </c>
      <c r="Y13" s="58" t="str">
        <f t="shared" ref="Y13:Y120" ca="1" si="12">IF(is_empty, "", INDEX($J:$J, MATCH(row_id, $X:$X, 0)))</f>
        <v>Income</v>
      </c>
      <c r="Z13" s="60" t="str">
        <f t="shared" ref="Z13:Z120" ca="1" si="13">IF(is_empty, "", IF(is_header, "Tracked", INDEX($K:$K, MATCH(row_id, $X:$X, 0))))</f>
        <v>Tracked</v>
      </c>
      <c r="AA13" s="60" t="str">
        <f t="shared" ref="AA13:AA120" ca="1" si="14">IF(is_empty, "", IF(is_header, "Budget", INDEX($L:$L, MATCH(row_id, $X:$X, 0))))</f>
        <v>Budget</v>
      </c>
      <c r="AB13" s="59" t="str">
        <f t="shared" ref="AB13:AB120" ca="1" si="15">IF(is_empty, "", IF(is_header, "% Compl.", IFERROR(out_tracked / out_budget, "-")))</f>
        <v>% Compl.</v>
      </c>
      <c r="AC13" s="60" t="str">
        <f t="shared" ref="AC13:AC120" ca="1" si="16">IF(is_empty, "", IF(is_header, "Remaining", IF(out_budget - out_tracked &gt; 0, out_budget - out_tracked, 0)))</f>
        <v>Remaining</v>
      </c>
      <c r="AD13" s="60" t="str">
        <f t="shared" ref="AD13:AD120" ca="1" si="17">IF(is_empty, "", IF(is_header, "Excess", IF(out_budget - out_tracked &lt; 0, out_tracked - out_budget, 0)))</f>
        <v>Excess</v>
      </c>
      <c r="AF13" s="61"/>
      <c r="AG13" s="62"/>
      <c r="AH13" s="62"/>
      <c r="AI13" s="62"/>
      <c r="AJ13" s="62"/>
      <c r="AK13" s="63"/>
      <c r="AM13" s="61"/>
      <c r="AN13" s="62"/>
      <c r="AO13" s="62"/>
      <c r="AP13" s="62"/>
      <c r="AQ13" s="62"/>
      <c r="AR13" s="63"/>
    </row>
    <row r="14" spans="2:44" x14ac:dyDescent="0.2">
      <c r="C14" s="6" cm="1">
        <f t="array" aca="1" ref="C14" ca="1">IF(C13=-1,-1,
      IF(C13&lt;income_max_row, 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10</v>
      </c>
      <c r="D14" s="7">
        <f t="shared" ca="1" si="0"/>
        <v>9</v>
      </c>
      <c r="E14" s="6" cm="1">
        <f t="array" aca="1" ref="E14" ca="1">1*OR(row_id=income_header_row, row_id=expenses_header_row, row_id=savings_header_row)</f>
        <v>0</v>
      </c>
      <c r="F14">
        <f t="shared" ca="1" si="1"/>
        <v>1</v>
      </c>
      <c r="G14" cm="1">
        <f t="array" aca="1" ref="G14" ca="1">1*OR(row_id=income_total_row, row_id=expenses_total_row, row_id=savings_total_row)</f>
        <v>0</v>
      </c>
      <c r="H14" s="7">
        <f t="shared" ca="1" si="2"/>
        <v>0</v>
      </c>
      <c r="I14" s="6" t="str" cm="1">
        <f t="array" aca="1" ref="I14" ca="1">IFERROR(INDEX('Budget Planning'!$C:$C, header_row_id),"")</f>
        <v>Income</v>
      </c>
      <c r="J14" t="str" cm="1">
        <f t="array" aca="1" ref="J14" ca="1">IFERROR(INDEX('Budget Planning'!$C:$C, row_id),"")</f>
        <v>Enter Income Category…</v>
      </c>
      <c r="K14" s="54" cm="1">
        <f t="array" aca="1" ref="K1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4" s="55" cm="1">
        <f t="array" aca="1" ref="L14" ca="1">IF(OR(is_header, is_empty), "",
      INDEX('Budget Planning'!$E:$EM, row_id,
                  MATCH(IF(selected_period="Total Year", selected_year, DATE(selected_year, selected_period, 1)), 'Budget Planning'!$E$9:$EM$9, 0)  ))</f>
        <v>0</v>
      </c>
      <c r="M14" s="6" cm="1">
        <f t="array" aca="1" ref="M14" ca="1">IF(is_cat,
       IF(header_row_id=income_header_row, MATCH(income_min_row, $C:$C, 0),
           IF(header_row_id=expenses_header_row, MATCH(expenses_min_row, $C:$C, 0),
               IF(header_row_id=savings_header_row, MATCH(savings_min_row, $C:$C, 0),""))), "")</f>
        <v>14</v>
      </c>
      <c r="N14" s="7" cm="1">
        <f t="array" aca="1" ref="N14" ca="1">IF(is_cat,
       IF(header_row_id=income_header_row, MATCH(income_max_row, $C:$C, 0),
           IF(header_row_id=expenses_header_row, MATCH(expenses_max_row, $C:$C, 0),
               IF(header_row_id=savings_header_row, MATCH(savings_max_row, $C:$C, 0),""))), "")</f>
        <v>14</v>
      </c>
      <c r="O14" s="6" t="str">
        <f t="shared" ca="1" si="3"/>
        <v>$K$14:$K$14</v>
      </c>
      <c r="P14">
        <f t="shared" ca="1" si="4"/>
        <v>1</v>
      </c>
      <c r="Q14" t="str">
        <f t="shared" ca="1" si="5"/>
        <v>$L$14:$L$14</v>
      </c>
      <c r="R14" s="7">
        <f t="shared" ca="1" si="6"/>
        <v>1</v>
      </c>
      <c r="S14" s="6">
        <f ca="1">IF(is_cat, _xlfn.NUMBERVALUE( tracked_rank &amp; IF(LEN(budget_rank)=1, "0", "") &amp; budget_rank), "")</f>
        <v>101</v>
      </c>
      <c r="T14" t="str">
        <f t="shared" ca="1" si="7"/>
        <v>$S$14:$S$14</v>
      </c>
      <c r="U14">
        <f t="shared" ca="1" si="8"/>
        <v>1</v>
      </c>
      <c r="V14" t="str">
        <f t="shared" ca="1" si="9"/>
        <v>$U$14:$U$14</v>
      </c>
      <c r="W14" s="7">
        <f t="shared" ca="1" si="10"/>
        <v>1</v>
      </c>
      <c r="X14" s="57">
        <f t="shared" ca="1" si="11"/>
        <v>10</v>
      </c>
      <c r="Y14" s="58" t="str">
        <f t="shared" ca="1" si="12"/>
        <v>Enter Income Category…</v>
      </c>
      <c r="Z14" s="60">
        <f t="shared" ca="1" si="13"/>
        <v>0</v>
      </c>
      <c r="AA14" s="60">
        <f t="shared" ca="1" si="14"/>
        <v>0</v>
      </c>
      <c r="AB14" s="59" t="str">
        <f t="shared" ca="1" si="15"/>
        <v>-</v>
      </c>
      <c r="AC14" s="60">
        <f t="shared" ca="1" si="16"/>
        <v>0</v>
      </c>
      <c r="AD14" s="60">
        <f t="shared" ca="1" si="17"/>
        <v>0</v>
      </c>
      <c r="AF14" s="6"/>
      <c r="AK14" s="7"/>
      <c r="AM14" s="6"/>
      <c r="AR14" s="7"/>
    </row>
    <row r="15" spans="2:44" x14ac:dyDescent="0.2">
      <c r="C15" s="6" cm="1">
        <f t="array" aca="1" ref="C15" ca="1">IF(C14=-1,-1,
      IF(C14&lt;income_max_row, 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20</v>
      </c>
      <c r="D15" s="7">
        <f t="shared" ca="1" si="0"/>
        <v>9</v>
      </c>
      <c r="E15" s="6" cm="1">
        <f t="array" aca="1" ref="E15" ca="1">1*OR(row_id=income_header_row, row_id=expenses_header_row, row_id=savings_header_row)</f>
        <v>0</v>
      </c>
      <c r="F15">
        <f t="shared" ca="1" si="1"/>
        <v>0</v>
      </c>
      <c r="G15" cm="1">
        <f t="array" aca="1" ref="G15" ca="1">1*OR(row_id=income_total_row, row_id=expenses_total_row, row_id=savings_total_row)</f>
        <v>1</v>
      </c>
      <c r="H15" s="7">
        <f t="shared" ca="1" si="2"/>
        <v>0</v>
      </c>
      <c r="I15" s="6" t="str" cm="1">
        <f t="array" aca="1" ref="I15" ca="1">IFERROR(INDEX('Budget Planning'!$C:$C, header_row_id),"")</f>
        <v>Income</v>
      </c>
      <c r="J15" t="str" cm="1">
        <f t="array" aca="1" ref="J15" ca="1">IFERROR(INDEX('Budget Planning'!$C:$C, row_id),"")</f>
        <v>Total</v>
      </c>
      <c r="K15" s="54" cm="1">
        <f t="array" aca="1" ref="K1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5" s="55" cm="1">
        <f t="array" aca="1" ref="L15" ca="1">IF(OR(is_header, is_empty), "",
      INDEX('Budget Planning'!$E:$EM, row_id,
                  MATCH(IF(selected_period="Total Year", selected_year, DATE(selected_year, selected_period, 1)), 'Budget Planning'!$E$9:$EM$9, 0)  ))</f>
        <v>0</v>
      </c>
      <c r="M15" s="6" t="str" cm="1">
        <f t="array" aca="1" ref="M15" ca="1">IF(is_cat,
       IF(header_row_id=income_header_row, MATCH(income_min_row, $C:$C, 0),
           IF(header_row_id=expenses_header_row, MATCH(expenses_min_row, $C:$C, 0),
               IF(header_row_id=savings_header_row, MATCH(savings_min_row, $C:$C, 0),""))), "")</f>
        <v/>
      </c>
      <c r="N15" s="7" t="str" cm="1">
        <f t="array" aca="1" ref="N15" ca="1">IF(is_cat,
       IF(header_row_id=income_header_row, MATCH(income_max_row, $C:$C, 0),
           IF(header_row_id=expenses_header_row, MATCH(expenses_max_row, $C:$C, 0),
               IF(header_row_id=savings_header_row, MATCH(savings_max_row, $C:$C, 0),""))), "")</f>
        <v/>
      </c>
      <c r="O15" s="6" t="str">
        <f t="shared" ca="1" si="3"/>
        <v/>
      </c>
      <c r="P15" t="str">
        <f t="shared" ca="1" si="4"/>
        <v/>
      </c>
      <c r="Q15" t="str">
        <f t="shared" ca="1" si="5"/>
        <v/>
      </c>
      <c r="R15" s="7" t="str">
        <f t="shared" ca="1" si="6"/>
        <v/>
      </c>
      <c r="S15" s="6" t="str">
        <f ca="1">IF(is_cat, _xlfn.NUMBERVALUE( tracked_rank &amp; IF(LEN(budget_rank)=1, "0", "") &amp; budget_rank), "")</f>
        <v/>
      </c>
      <c r="T15" t="str">
        <f t="shared" ca="1" si="7"/>
        <v/>
      </c>
      <c r="U15" t="str">
        <f t="shared" ca="1" si="8"/>
        <v/>
      </c>
      <c r="V15" t="str">
        <f t="shared" ca="1" si="9"/>
        <v/>
      </c>
      <c r="W15" s="7" t="str">
        <f t="shared" ca="1" si="10"/>
        <v/>
      </c>
      <c r="X15" s="57">
        <f t="shared" ca="1" si="11"/>
        <v>20</v>
      </c>
      <c r="Y15" s="58" t="str">
        <f t="shared" ca="1" si="12"/>
        <v>Total</v>
      </c>
      <c r="Z15" s="60">
        <f t="shared" ca="1" si="13"/>
        <v>0</v>
      </c>
      <c r="AA15" s="60">
        <f t="shared" ca="1" si="14"/>
        <v>0</v>
      </c>
      <c r="AB15" s="59" t="str">
        <f t="shared" ca="1" si="15"/>
        <v>-</v>
      </c>
      <c r="AC15" s="60">
        <f t="shared" ca="1" si="16"/>
        <v>0</v>
      </c>
      <c r="AD15" s="60">
        <f t="shared" ca="1" si="17"/>
        <v>0</v>
      </c>
      <c r="AF15" s="6"/>
      <c r="AK15" s="7"/>
      <c r="AM15" s="6"/>
      <c r="AR15" s="7"/>
    </row>
    <row r="16" spans="2:44" x14ac:dyDescent="0.2">
      <c r="C16" s="6" t="str" cm="1">
        <f t="array" aca="1" ref="C16" ca="1">IF(C15=-1,-1,
      IF(C15&lt;income_max_row, 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v>
      </c>
      <c r="D16" s="7">
        <f t="shared" ca="1" si="0"/>
        <v>-1</v>
      </c>
      <c r="E16" s="6" cm="1">
        <f t="array" aca="1" ref="E16" ca="1">1*OR(row_id=income_header_row, row_id=expenses_header_row, row_id=savings_header_row)</f>
        <v>0</v>
      </c>
      <c r="F16">
        <f t="shared" ca="1" si="1"/>
        <v>0</v>
      </c>
      <c r="G16" cm="1">
        <f t="array" aca="1" ref="G16" ca="1">1*OR(row_id=income_total_row, row_id=expenses_total_row, row_id=savings_total_row)</f>
        <v>0</v>
      </c>
      <c r="H16" s="7">
        <f t="shared" ca="1" si="2"/>
        <v>1</v>
      </c>
      <c r="I16" s="6" t="str" cm="1">
        <f t="array" aca="1" ref="I16" ca="1">IFERROR(INDEX('Budget Planning'!$C:$C, header_row_id),"")</f>
        <v/>
      </c>
      <c r="J16" t="str" cm="1">
        <f t="array" aca="1" ref="J16" ca="1">IFERROR(INDEX('Budget Planning'!$C:$C, row_id),"")</f>
        <v/>
      </c>
      <c r="K16" s="54" t="str" cm="1">
        <f t="array" aca="1" ref="K1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6" s="55" t="str" cm="1">
        <f t="array" aca="1" ref="L16" ca="1">IF(OR(is_header, is_empty), "",
      INDEX('Budget Planning'!$E:$EM, row_id,
                  MATCH(IF(selected_period="Total Year", selected_year, DATE(selected_year, selected_period, 1)), 'Budget Planning'!$E$9:$EM$9, 0)  ))</f>
        <v/>
      </c>
      <c r="M16" s="6" t="str" cm="1">
        <f t="array" aca="1" ref="M16" ca="1">IF(is_cat,
       IF(header_row_id=income_header_row, MATCH(income_min_row, $C:$C, 0),
           IF(header_row_id=expenses_header_row, MATCH(expenses_min_row, $C:$C, 0),
               IF(header_row_id=savings_header_row, MATCH(savings_min_row, $C:$C, 0),""))), "")</f>
        <v/>
      </c>
      <c r="N16" s="7" t="str" cm="1">
        <f t="array" aca="1" ref="N16" ca="1">IF(is_cat,
       IF(header_row_id=income_header_row, MATCH(income_max_row, $C:$C, 0),
           IF(header_row_id=expenses_header_row, MATCH(expenses_max_row, $C:$C, 0),
               IF(header_row_id=savings_header_row, MATCH(savings_max_row, $C:$C, 0),""))), "")</f>
        <v/>
      </c>
      <c r="O16" s="6" t="str">
        <f t="shared" ca="1" si="3"/>
        <v/>
      </c>
      <c r="P16" t="str">
        <f t="shared" ca="1" si="4"/>
        <v/>
      </c>
      <c r="Q16" t="str">
        <f t="shared" ca="1" si="5"/>
        <v/>
      </c>
      <c r="R16" s="7" t="str">
        <f t="shared" ca="1" si="6"/>
        <v/>
      </c>
      <c r="S16" s="6" t="str">
        <f ca="1">IF(is_cat, _xlfn.NUMBERVALUE( tracked_rank &amp; IF(LEN(budget_rank)=1, "0", "") &amp; budget_rank), "")</f>
        <v/>
      </c>
      <c r="T16" t="str">
        <f t="shared" ca="1" si="7"/>
        <v/>
      </c>
      <c r="U16" t="str">
        <f t="shared" ca="1" si="8"/>
        <v/>
      </c>
      <c r="V16" t="str">
        <f t="shared" ca="1" si="9"/>
        <v/>
      </c>
      <c r="W16" s="7" t="str">
        <f t="shared" ca="1" si="10"/>
        <v/>
      </c>
      <c r="X16" s="57" t="str">
        <f t="shared" ca="1" si="11"/>
        <v>/1</v>
      </c>
      <c r="Y16" s="58" t="str">
        <f t="shared" ca="1" si="12"/>
        <v/>
      </c>
      <c r="Z16" s="60" t="str">
        <f t="shared" ca="1" si="13"/>
        <v/>
      </c>
      <c r="AA16" s="60" t="str">
        <f t="shared" ca="1" si="14"/>
        <v/>
      </c>
      <c r="AB16" s="59" t="str">
        <f t="shared" ca="1" si="15"/>
        <v/>
      </c>
      <c r="AC16" s="60" t="str">
        <f t="shared" ca="1" si="16"/>
        <v/>
      </c>
      <c r="AD16" s="60" t="str">
        <f t="shared" ca="1" si="17"/>
        <v/>
      </c>
      <c r="AF16" s="6"/>
      <c r="AI16" s="73" t="str">
        <f ca="1">Calculations!E35</f>
        <v/>
      </c>
      <c r="AJ16" s="74" t="str">
        <f ca="1">Calculations!F35</f>
        <v/>
      </c>
      <c r="AK16" s="7"/>
      <c r="AM16" s="6"/>
      <c r="AR16" s="7"/>
    </row>
    <row r="17" spans="3:44" x14ac:dyDescent="0.2">
      <c r="C17" s="6" cm="1">
        <f t="array" aca="1" ref="C17" ca="1">IF(C16=-1,-1,
      IF(C16&lt;income_max_row, 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22</v>
      </c>
      <c r="D17" s="7">
        <f t="shared" ca="1" si="0"/>
        <v>22</v>
      </c>
      <c r="E17" s="6" cm="1">
        <f t="array" aca="1" ref="E17" ca="1">1*OR(row_id=income_header_row, row_id=expenses_header_row, row_id=savings_header_row)</f>
        <v>1</v>
      </c>
      <c r="F17">
        <f t="shared" ca="1" si="1"/>
        <v>0</v>
      </c>
      <c r="G17" cm="1">
        <f t="array" aca="1" ref="G17" ca="1">1*OR(row_id=income_total_row, row_id=expenses_total_row, row_id=savings_total_row)</f>
        <v>0</v>
      </c>
      <c r="H17" s="7">
        <f t="shared" ca="1" si="2"/>
        <v>0</v>
      </c>
      <c r="I17" s="6" t="str" cm="1">
        <f t="array" aca="1" ref="I17" ca="1">IFERROR(INDEX('Budget Planning'!$C:$C, header_row_id),"")</f>
        <v>Expenses</v>
      </c>
      <c r="J17" t="str" cm="1">
        <f t="array" aca="1" ref="J17" ca="1">IFERROR(INDEX('Budget Planning'!$C:$C, row_id),"")</f>
        <v>Expenses</v>
      </c>
      <c r="K17" s="54" t="str" cm="1">
        <f t="array" aca="1" ref="K1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7" s="55" t="str" cm="1">
        <f t="array" aca="1" ref="L17" ca="1">IF(OR(is_header, is_empty), "",
      INDEX('Budget Planning'!$E:$EM, row_id,
                  MATCH(IF(selected_period="Total Year", selected_year, DATE(selected_year, selected_period, 1)), 'Budget Planning'!$E$9:$EM$9, 0)  ))</f>
        <v/>
      </c>
      <c r="M17" s="6" t="str" cm="1">
        <f t="array" aca="1" ref="M17" ca="1">IF(is_cat,
       IF(header_row_id=income_header_row, MATCH(income_min_row, $C:$C, 0),
           IF(header_row_id=expenses_header_row, MATCH(expenses_min_row, $C:$C, 0),
               IF(header_row_id=savings_header_row, MATCH(savings_min_row, $C:$C, 0),""))), "")</f>
        <v/>
      </c>
      <c r="N17" s="7" t="str" cm="1">
        <f t="array" aca="1" ref="N17" ca="1">IF(is_cat,
       IF(header_row_id=income_header_row, MATCH(income_max_row, $C:$C, 0),
           IF(header_row_id=expenses_header_row, MATCH(expenses_max_row, $C:$C, 0),
               IF(header_row_id=savings_header_row, MATCH(savings_max_row, $C:$C, 0),""))), "")</f>
        <v/>
      </c>
      <c r="O17" s="6" t="str">
        <f t="shared" ca="1" si="3"/>
        <v/>
      </c>
      <c r="P17" t="str">
        <f t="shared" ca="1" si="4"/>
        <v/>
      </c>
      <c r="Q17" t="str">
        <f t="shared" ca="1" si="5"/>
        <v/>
      </c>
      <c r="R17" s="7" t="str">
        <f t="shared" ca="1" si="6"/>
        <v/>
      </c>
      <c r="S17" s="6" t="str">
        <f ca="1">IF(is_cat, _xlfn.NUMBERVALUE( tracked_rank &amp; IF(LEN(budget_rank)=1, "0", "") &amp; budget_rank), "")</f>
        <v/>
      </c>
      <c r="T17" t="str">
        <f t="shared" ca="1" si="7"/>
        <v/>
      </c>
      <c r="U17" t="str">
        <f t="shared" ca="1" si="8"/>
        <v/>
      </c>
      <c r="V17" t="str">
        <f t="shared" ca="1" si="9"/>
        <v/>
      </c>
      <c r="W17" s="7" t="str">
        <f t="shared" ca="1" si="10"/>
        <v/>
      </c>
      <c r="X17" s="57">
        <f t="shared" ca="1" si="11"/>
        <v>22</v>
      </c>
      <c r="Y17" s="58" t="str">
        <f t="shared" ca="1" si="12"/>
        <v>Expenses</v>
      </c>
      <c r="Z17" s="60" t="str">
        <f t="shared" ca="1" si="13"/>
        <v>Tracked</v>
      </c>
      <c r="AA17" s="60" t="str">
        <f t="shared" ca="1" si="14"/>
        <v>Budget</v>
      </c>
      <c r="AB17" s="59" t="str">
        <f t="shared" ca="1" si="15"/>
        <v>% Compl.</v>
      </c>
      <c r="AC17" s="60" t="str">
        <f t="shared" ca="1" si="16"/>
        <v>Remaining</v>
      </c>
      <c r="AD17" s="60" t="str">
        <f t="shared" ca="1" si="17"/>
        <v>Excess</v>
      </c>
      <c r="AF17" s="6"/>
      <c r="AI17" s="73" t="str">
        <f ca="1">Calculations!E36</f>
        <v/>
      </c>
      <c r="AJ17" s="74" t="str">
        <f ca="1">Calculations!F36</f>
        <v/>
      </c>
      <c r="AK17" s="7"/>
      <c r="AM17" s="6"/>
      <c r="AR17" s="7"/>
    </row>
    <row r="18" spans="3:44" x14ac:dyDescent="0.2">
      <c r="C18" s="6" cm="1">
        <f t="array" aca="1" ref="C18" ca="1">IF(C17=-1,-1,
      IF(C17&lt;income_max_row, 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23</v>
      </c>
      <c r="D18" s="7">
        <f t="shared" ca="1" si="0"/>
        <v>22</v>
      </c>
      <c r="E18" s="6" cm="1">
        <f t="array" aca="1" ref="E18" ca="1">1*OR(row_id=income_header_row, row_id=expenses_header_row, row_id=savings_header_row)</f>
        <v>0</v>
      </c>
      <c r="F18">
        <f t="shared" ca="1" si="1"/>
        <v>1</v>
      </c>
      <c r="G18" cm="1">
        <f t="array" aca="1" ref="G18" ca="1">1*OR(row_id=income_total_row, row_id=expenses_total_row, row_id=savings_total_row)</f>
        <v>0</v>
      </c>
      <c r="H18" s="7">
        <f t="shared" ca="1" si="2"/>
        <v>0</v>
      </c>
      <c r="I18" s="6" t="str" cm="1">
        <f t="array" aca="1" ref="I18" ca="1">IFERROR(INDEX('Budget Planning'!$C:$C, header_row_id),"")</f>
        <v>Expenses</v>
      </c>
      <c r="J18" t="str" cm="1">
        <f t="array" aca="1" ref="J18" ca="1">IFERROR(INDEX('Budget Planning'!$C:$C, row_id),"")</f>
        <v>Enter Expenses Category…</v>
      </c>
      <c r="K18" s="54" cm="1">
        <f t="array" aca="1" ref="K1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8" s="55" cm="1">
        <f t="array" aca="1" ref="L18" ca="1">IF(OR(is_header, is_empty), "",
      INDEX('Budget Planning'!$E:$EM, row_id,
                  MATCH(IF(selected_period="Total Year", selected_year, DATE(selected_year, selected_period, 1)), 'Budget Planning'!$E$9:$EM$9, 0)  ))</f>
        <v>0</v>
      </c>
      <c r="M18" s="6" cm="1">
        <f t="array" aca="1" ref="M18" ca="1">IF(is_cat,
       IF(header_row_id=income_header_row, MATCH(income_min_row, $C:$C, 0),
           IF(header_row_id=expenses_header_row, MATCH(expenses_min_row, $C:$C, 0),
               IF(header_row_id=savings_header_row, MATCH(savings_min_row, $C:$C, 0),""))), "")</f>
        <v>18</v>
      </c>
      <c r="N18" s="7" cm="1">
        <f t="array" aca="1" ref="N18" ca="1">IF(is_cat,
       IF(header_row_id=income_header_row, MATCH(income_max_row, $C:$C, 0),
           IF(header_row_id=expenses_header_row, MATCH(expenses_max_row, $C:$C, 0),
               IF(header_row_id=savings_header_row, MATCH(savings_max_row, $C:$C, 0),""))), "")</f>
        <v>18</v>
      </c>
      <c r="O18" s="6" t="str">
        <f t="shared" ca="1" si="3"/>
        <v>$K$18:$K$18</v>
      </c>
      <c r="P18">
        <f t="shared" ca="1" si="4"/>
        <v>1</v>
      </c>
      <c r="Q18" t="str">
        <f t="shared" ca="1" si="5"/>
        <v>$L$18:$L$18</v>
      </c>
      <c r="R18" s="7">
        <f t="shared" ca="1" si="6"/>
        <v>1</v>
      </c>
      <c r="S18" s="6">
        <f ca="1">IF(is_cat, _xlfn.NUMBERVALUE( tracked_rank &amp; IF(LEN(budget_rank)=1, "0", "") &amp; budget_rank), "")</f>
        <v>101</v>
      </c>
      <c r="T18" t="str">
        <f t="shared" ca="1" si="7"/>
        <v>$S$18:$S$18</v>
      </c>
      <c r="U18">
        <f t="shared" ca="1" si="8"/>
        <v>1</v>
      </c>
      <c r="V18" t="str">
        <f t="shared" ca="1" si="9"/>
        <v>$U$18:$U$18</v>
      </c>
      <c r="W18" s="7">
        <f t="shared" ca="1" si="10"/>
        <v>1</v>
      </c>
      <c r="X18" s="57">
        <f t="shared" ca="1" si="11"/>
        <v>23</v>
      </c>
      <c r="Y18" s="58" t="str">
        <f t="shared" ca="1" si="12"/>
        <v>Enter Expenses Category…</v>
      </c>
      <c r="Z18" s="60">
        <f t="shared" ca="1" si="13"/>
        <v>0</v>
      </c>
      <c r="AA18" s="60">
        <f t="shared" ca="1" si="14"/>
        <v>0</v>
      </c>
      <c r="AB18" s="59" t="str">
        <f t="shared" ca="1" si="15"/>
        <v>-</v>
      </c>
      <c r="AC18" s="60">
        <f t="shared" ca="1" si="16"/>
        <v>0</v>
      </c>
      <c r="AD18" s="60">
        <f t="shared" ca="1" si="17"/>
        <v>0</v>
      </c>
      <c r="AF18" s="6"/>
      <c r="AI18" s="73" t="str">
        <f ca="1">Calculations!E37</f>
        <v/>
      </c>
      <c r="AJ18" s="74" t="str">
        <f ca="1">Calculations!F37</f>
        <v/>
      </c>
      <c r="AK18" s="7"/>
      <c r="AM18" s="6"/>
      <c r="AR18" s="7"/>
    </row>
    <row r="19" spans="3:44" x14ac:dyDescent="0.2">
      <c r="C19" s="6" cm="1">
        <f t="array" aca="1" ref="C19" ca="1">IF(C18=-1,-1,
      IF(C18&lt;income_max_row, 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58</v>
      </c>
      <c r="D19" s="7">
        <f t="shared" ca="1" si="0"/>
        <v>22</v>
      </c>
      <c r="E19" s="6" cm="1">
        <f t="array" aca="1" ref="E19" ca="1">1*OR(row_id=income_header_row, row_id=expenses_header_row, row_id=savings_header_row)</f>
        <v>0</v>
      </c>
      <c r="F19">
        <f t="shared" ca="1" si="1"/>
        <v>0</v>
      </c>
      <c r="G19" cm="1">
        <f t="array" aca="1" ref="G19" ca="1">1*OR(row_id=income_total_row, row_id=expenses_total_row, row_id=savings_total_row)</f>
        <v>1</v>
      </c>
      <c r="H19" s="7">
        <f t="shared" ca="1" si="2"/>
        <v>0</v>
      </c>
      <c r="I19" s="6" t="str" cm="1">
        <f t="array" aca="1" ref="I19" ca="1">IFERROR(INDEX('Budget Planning'!$C:$C, header_row_id),"")</f>
        <v>Expenses</v>
      </c>
      <c r="J19" t="str" cm="1">
        <f t="array" aca="1" ref="J19" ca="1">IFERROR(INDEX('Budget Planning'!$C:$C, row_id),"")</f>
        <v>Total</v>
      </c>
      <c r="K19" s="54" cm="1">
        <f t="array" aca="1" ref="K1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9" s="55" cm="1">
        <f t="array" aca="1" ref="L19" ca="1">IF(OR(is_header, is_empty), "",
      INDEX('Budget Planning'!$E:$EM, row_id,
                  MATCH(IF(selected_period="Total Year", selected_year, DATE(selected_year, selected_period, 1)), 'Budget Planning'!$E$9:$EM$9, 0)  ))</f>
        <v>0</v>
      </c>
      <c r="M19" s="6" t="str" cm="1">
        <f t="array" aca="1" ref="M19" ca="1">IF(is_cat,
       IF(header_row_id=income_header_row, MATCH(income_min_row, $C:$C, 0),
           IF(header_row_id=expenses_header_row, MATCH(expenses_min_row, $C:$C, 0),
               IF(header_row_id=savings_header_row, MATCH(savings_min_row, $C:$C, 0),""))), "")</f>
        <v/>
      </c>
      <c r="N19" s="7" t="str" cm="1">
        <f t="array" aca="1" ref="N19" ca="1">IF(is_cat,
       IF(header_row_id=income_header_row, MATCH(income_max_row, $C:$C, 0),
           IF(header_row_id=expenses_header_row, MATCH(expenses_max_row, $C:$C, 0),
               IF(header_row_id=savings_header_row, MATCH(savings_max_row, $C:$C, 0),""))), "")</f>
        <v/>
      </c>
      <c r="O19" s="6" t="str">
        <f t="shared" ca="1" si="3"/>
        <v/>
      </c>
      <c r="P19" t="str">
        <f t="shared" ca="1" si="4"/>
        <v/>
      </c>
      <c r="Q19" t="str">
        <f t="shared" ca="1" si="5"/>
        <v/>
      </c>
      <c r="R19" s="7" t="str">
        <f t="shared" ca="1" si="6"/>
        <v/>
      </c>
      <c r="S19" s="6" t="str">
        <f ca="1">IF(is_cat, _xlfn.NUMBERVALUE( tracked_rank &amp; IF(LEN(budget_rank)=1, "0", "") &amp; budget_rank), "")</f>
        <v/>
      </c>
      <c r="T19" t="str">
        <f t="shared" ca="1" si="7"/>
        <v/>
      </c>
      <c r="U19" t="str">
        <f t="shared" ca="1" si="8"/>
        <v/>
      </c>
      <c r="V19" t="str">
        <f t="shared" ca="1" si="9"/>
        <v/>
      </c>
      <c r="W19" s="7" t="str">
        <f t="shared" ca="1" si="10"/>
        <v/>
      </c>
      <c r="X19" s="57">
        <f t="shared" ca="1" si="11"/>
        <v>58</v>
      </c>
      <c r="Y19" s="58" t="str">
        <f t="shared" ca="1" si="12"/>
        <v>Total</v>
      </c>
      <c r="Z19" s="60">
        <f t="shared" ca="1" si="13"/>
        <v>0</v>
      </c>
      <c r="AA19" s="60">
        <f t="shared" ca="1" si="14"/>
        <v>0</v>
      </c>
      <c r="AB19" s="59" t="str">
        <f t="shared" ca="1" si="15"/>
        <v>-</v>
      </c>
      <c r="AC19" s="60">
        <f t="shared" ca="1" si="16"/>
        <v>0</v>
      </c>
      <c r="AD19" s="60">
        <f t="shared" ca="1" si="17"/>
        <v>0</v>
      </c>
      <c r="AF19" s="6"/>
      <c r="AI19" s="73" t="str">
        <f ca="1">Calculations!E38</f>
        <v/>
      </c>
      <c r="AJ19" s="74" t="str">
        <f ca="1">Calculations!F38</f>
        <v/>
      </c>
      <c r="AK19" s="7"/>
      <c r="AM19" s="6"/>
      <c r="AR19" s="7"/>
    </row>
    <row r="20" spans="3:44" x14ac:dyDescent="0.2">
      <c r="C20" s="6" t="str" cm="1">
        <f t="array" aca="1" ref="C20" ca="1">IF(C19=-1,-1,
      IF(C19&lt;income_max_row, 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v>
      </c>
      <c r="D20" s="7">
        <f t="shared" ca="1" si="0"/>
        <v>-1</v>
      </c>
      <c r="E20" s="6" cm="1">
        <f t="array" aca="1" ref="E20" ca="1">1*OR(row_id=income_header_row, row_id=expenses_header_row, row_id=savings_header_row)</f>
        <v>0</v>
      </c>
      <c r="F20">
        <f t="shared" ca="1" si="1"/>
        <v>0</v>
      </c>
      <c r="G20" cm="1">
        <f t="array" aca="1" ref="G20" ca="1">1*OR(row_id=income_total_row, row_id=expenses_total_row, row_id=savings_total_row)</f>
        <v>0</v>
      </c>
      <c r="H20" s="7">
        <f t="shared" ca="1" si="2"/>
        <v>1</v>
      </c>
      <c r="I20" s="6" t="str" cm="1">
        <f t="array" aca="1" ref="I20" ca="1">IFERROR(INDEX('Budget Planning'!$C:$C, header_row_id),"")</f>
        <v/>
      </c>
      <c r="J20" t="str" cm="1">
        <f t="array" aca="1" ref="J20" ca="1">IFERROR(INDEX('Budget Planning'!$C:$C, row_id),"")</f>
        <v/>
      </c>
      <c r="K20" s="54" t="str" cm="1">
        <f t="array" aca="1" ref="K2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0" s="55" t="str" cm="1">
        <f t="array" aca="1" ref="L20" ca="1">IF(OR(is_header, is_empty), "",
      INDEX('Budget Planning'!$E:$EM, row_id,
                  MATCH(IF(selected_period="Total Year", selected_year, DATE(selected_year, selected_period, 1)), 'Budget Planning'!$E$9:$EM$9, 0)  ))</f>
        <v/>
      </c>
      <c r="M20" s="6" t="str" cm="1">
        <f t="array" aca="1" ref="M20" ca="1">IF(is_cat,
       IF(header_row_id=income_header_row, MATCH(income_min_row, $C:$C, 0),
           IF(header_row_id=expenses_header_row, MATCH(expenses_min_row, $C:$C, 0),
               IF(header_row_id=savings_header_row, MATCH(savings_min_row, $C:$C, 0),""))), "")</f>
        <v/>
      </c>
      <c r="N20" s="7" t="str" cm="1">
        <f t="array" aca="1" ref="N20" ca="1">IF(is_cat,
       IF(header_row_id=income_header_row, MATCH(income_max_row, $C:$C, 0),
           IF(header_row_id=expenses_header_row, MATCH(expenses_max_row, $C:$C, 0),
               IF(header_row_id=savings_header_row, MATCH(savings_max_row, $C:$C, 0),""))), "")</f>
        <v/>
      </c>
      <c r="O20" s="6" t="str">
        <f t="shared" ca="1" si="3"/>
        <v/>
      </c>
      <c r="P20" t="str">
        <f t="shared" ca="1" si="4"/>
        <v/>
      </c>
      <c r="Q20" t="str">
        <f t="shared" ca="1" si="5"/>
        <v/>
      </c>
      <c r="R20" s="7" t="str">
        <f t="shared" ca="1" si="6"/>
        <v/>
      </c>
      <c r="S20" s="6" t="str">
        <f ca="1">IF(is_cat, _xlfn.NUMBERVALUE( tracked_rank &amp; IF(LEN(budget_rank)=1, "0", "") &amp; budget_rank), "")</f>
        <v/>
      </c>
      <c r="T20" t="str">
        <f t="shared" ca="1" si="7"/>
        <v/>
      </c>
      <c r="U20" t="str">
        <f t="shared" ca="1" si="8"/>
        <v/>
      </c>
      <c r="V20" t="str">
        <f t="shared" ca="1" si="9"/>
        <v/>
      </c>
      <c r="W20" s="7" t="str">
        <f t="shared" ca="1" si="10"/>
        <v/>
      </c>
      <c r="X20" s="57" t="str">
        <f t="shared" ca="1" si="11"/>
        <v>/2</v>
      </c>
      <c r="Y20" s="58" t="str">
        <f t="shared" ca="1" si="12"/>
        <v/>
      </c>
      <c r="Z20" s="60" t="str">
        <f t="shared" ca="1" si="13"/>
        <v/>
      </c>
      <c r="AA20" s="60" t="str">
        <f t="shared" ca="1" si="14"/>
        <v/>
      </c>
      <c r="AB20" s="59" t="str">
        <f t="shared" ca="1" si="15"/>
        <v/>
      </c>
      <c r="AC20" s="60" t="str">
        <f t="shared" ca="1" si="16"/>
        <v/>
      </c>
      <c r="AD20" s="60" t="str">
        <f t="shared" ca="1" si="17"/>
        <v/>
      </c>
      <c r="AF20" s="6"/>
      <c r="AI20" s="73" t="str">
        <f ca="1">Calculations!E39</f>
        <v/>
      </c>
      <c r="AJ20" s="74" t="str">
        <f ca="1">Calculations!F39</f>
        <v/>
      </c>
      <c r="AK20" s="7"/>
      <c r="AM20" s="6"/>
      <c r="AR20" s="7"/>
    </row>
    <row r="21" spans="3:44" x14ac:dyDescent="0.2">
      <c r="C21" s="6" cm="1">
        <f t="array" aca="1" ref="C21" ca="1">IF(C20=-1,-1,
      IF(C20&lt;income_max_row, 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60</v>
      </c>
      <c r="D21" s="7">
        <f t="shared" ca="1" si="0"/>
        <v>60</v>
      </c>
      <c r="E21" s="6" cm="1">
        <f t="array" aca="1" ref="E21" ca="1">1*OR(row_id=income_header_row, row_id=expenses_header_row, row_id=savings_header_row)</f>
        <v>1</v>
      </c>
      <c r="F21">
        <f t="shared" ca="1" si="1"/>
        <v>0</v>
      </c>
      <c r="G21" cm="1">
        <f t="array" aca="1" ref="G21" ca="1">1*OR(row_id=income_total_row, row_id=expenses_total_row, row_id=savings_total_row)</f>
        <v>0</v>
      </c>
      <c r="H21" s="7">
        <f t="shared" ca="1" si="2"/>
        <v>0</v>
      </c>
      <c r="I21" s="6" t="str" cm="1">
        <f t="array" aca="1" ref="I21" ca="1">IFERROR(INDEX('Budget Planning'!$C:$C, header_row_id),"")</f>
        <v>Savings</v>
      </c>
      <c r="J21" t="str" cm="1">
        <f t="array" aca="1" ref="J21" ca="1">IFERROR(INDEX('Budget Planning'!$C:$C, row_id),"")</f>
        <v>Savings</v>
      </c>
      <c r="K21" s="54" t="str" cm="1">
        <f t="array" aca="1" ref="K2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1" s="55" t="str" cm="1">
        <f t="array" aca="1" ref="L21" ca="1">IF(OR(is_header, is_empty), "",
      INDEX('Budget Planning'!$E:$EM, row_id,
                  MATCH(IF(selected_period="Total Year", selected_year, DATE(selected_year, selected_period, 1)), 'Budget Planning'!$E$9:$EM$9, 0)  ))</f>
        <v/>
      </c>
      <c r="M21" s="6" t="str" cm="1">
        <f t="array" aca="1" ref="M21" ca="1">IF(is_cat,
       IF(header_row_id=income_header_row, MATCH(income_min_row, $C:$C, 0),
           IF(header_row_id=expenses_header_row, MATCH(expenses_min_row, $C:$C, 0),
               IF(header_row_id=savings_header_row, MATCH(savings_min_row, $C:$C, 0),""))), "")</f>
        <v/>
      </c>
      <c r="N21" s="7" t="str" cm="1">
        <f t="array" aca="1" ref="N21" ca="1">IF(is_cat,
       IF(header_row_id=income_header_row, MATCH(income_max_row, $C:$C, 0),
           IF(header_row_id=expenses_header_row, MATCH(expenses_max_row, $C:$C, 0),
               IF(header_row_id=savings_header_row, MATCH(savings_max_row, $C:$C, 0),""))), "")</f>
        <v/>
      </c>
      <c r="O21" s="6" t="str">
        <f t="shared" ca="1" si="3"/>
        <v/>
      </c>
      <c r="P21" t="str">
        <f t="shared" ca="1" si="4"/>
        <v/>
      </c>
      <c r="Q21" t="str">
        <f t="shared" ca="1" si="5"/>
        <v/>
      </c>
      <c r="R21" s="7" t="str">
        <f t="shared" ca="1" si="6"/>
        <v/>
      </c>
      <c r="S21" s="6" t="str">
        <f ca="1">IF(is_cat, _xlfn.NUMBERVALUE( tracked_rank &amp; IF(LEN(budget_rank)=1, "0", "") &amp; budget_rank), "")</f>
        <v/>
      </c>
      <c r="T21" t="str">
        <f t="shared" ca="1" si="7"/>
        <v/>
      </c>
      <c r="U21" t="str">
        <f t="shared" ca="1" si="8"/>
        <v/>
      </c>
      <c r="V21" t="str">
        <f t="shared" ca="1" si="9"/>
        <v/>
      </c>
      <c r="W21" s="7" t="str">
        <f t="shared" ca="1" si="10"/>
        <v/>
      </c>
      <c r="X21" s="57">
        <f t="shared" ca="1" si="11"/>
        <v>60</v>
      </c>
      <c r="Y21" s="58" t="str">
        <f t="shared" ca="1" si="12"/>
        <v>Savings</v>
      </c>
      <c r="Z21" s="60" t="str">
        <f t="shared" ca="1" si="13"/>
        <v>Tracked</v>
      </c>
      <c r="AA21" s="60" t="str">
        <f t="shared" ca="1" si="14"/>
        <v>Budget</v>
      </c>
      <c r="AB21" s="59" t="str">
        <f t="shared" ca="1" si="15"/>
        <v>% Compl.</v>
      </c>
      <c r="AC21" s="60" t="str">
        <f t="shared" ca="1" si="16"/>
        <v>Remaining</v>
      </c>
      <c r="AD21" s="60" t="str">
        <f t="shared" ca="1" si="17"/>
        <v>Excess</v>
      </c>
      <c r="AF21" s="6"/>
      <c r="AI21" s="73" t="str">
        <f ca="1">Calculations!E40</f>
        <v/>
      </c>
      <c r="AJ21" s="74" t="str">
        <f ca="1">Calculations!F40</f>
        <v/>
      </c>
      <c r="AK21" s="7"/>
      <c r="AM21" s="6"/>
      <c r="AR21" s="7"/>
    </row>
    <row r="22" spans="3:44" x14ac:dyDescent="0.2">
      <c r="C22" s="6" cm="1">
        <f t="array" aca="1" ref="C22" ca="1">IF(C21=-1,-1,
      IF(C21&lt;income_max_row, 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61</v>
      </c>
      <c r="D22" s="7">
        <f t="shared" ca="1" si="0"/>
        <v>60</v>
      </c>
      <c r="E22" s="6" cm="1">
        <f t="array" aca="1" ref="E22" ca="1">1*OR(row_id=income_header_row, row_id=expenses_header_row, row_id=savings_header_row)</f>
        <v>0</v>
      </c>
      <c r="F22">
        <f t="shared" ca="1" si="1"/>
        <v>1</v>
      </c>
      <c r="G22" cm="1">
        <f t="array" aca="1" ref="G22" ca="1">1*OR(row_id=income_total_row, row_id=expenses_total_row, row_id=savings_total_row)</f>
        <v>0</v>
      </c>
      <c r="H22" s="7">
        <f t="shared" ca="1" si="2"/>
        <v>0</v>
      </c>
      <c r="I22" s="6" t="str" cm="1">
        <f t="array" aca="1" ref="I22" ca="1">IFERROR(INDEX('Budget Planning'!$C:$C, header_row_id),"")</f>
        <v>Savings</v>
      </c>
      <c r="J22" t="str" cm="1">
        <f t="array" aca="1" ref="J22" ca="1">IFERROR(INDEX('Budget Planning'!$C:$C, row_id),"")</f>
        <v>Enter Savings Category…</v>
      </c>
      <c r="K22" s="54" cm="1">
        <f t="array" aca="1" ref="K2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2" s="55" cm="1">
        <f t="array" aca="1" ref="L22" ca="1">IF(OR(is_header, is_empty), "",
      INDEX('Budget Planning'!$E:$EM, row_id,
                  MATCH(IF(selected_period="Total Year", selected_year, DATE(selected_year, selected_period, 1)), 'Budget Planning'!$E$9:$EM$9, 0)  ))</f>
        <v>0</v>
      </c>
      <c r="M22" s="6" cm="1">
        <f t="array" aca="1" ref="M22" ca="1">IF(is_cat,
       IF(header_row_id=income_header_row, MATCH(income_min_row, $C:$C, 0),
           IF(header_row_id=expenses_header_row, MATCH(expenses_min_row, $C:$C, 0),
               IF(header_row_id=savings_header_row, MATCH(savings_min_row, $C:$C, 0),""))), "")</f>
        <v>22</v>
      </c>
      <c r="N22" s="7" cm="1">
        <f t="array" aca="1" ref="N22" ca="1">IF(is_cat,
       IF(header_row_id=income_header_row, MATCH(income_max_row, $C:$C, 0),
           IF(header_row_id=expenses_header_row, MATCH(expenses_max_row, $C:$C, 0),
               IF(header_row_id=savings_header_row, MATCH(savings_max_row, $C:$C, 0),""))), "")</f>
        <v>22</v>
      </c>
      <c r="O22" s="6" t="str">
        <f t="shared" ca="1" si="3"/>
        <v>$K$22:$K$22</v>
      </c>
      <c r="P22">
        <f t="shared" ca="1" si="4"/>
        <v>1</v>
      </c>
      <c r="Q22" t="str">
        <f t="shared" ca="1" si="5"/>
        <v>$L$22:$L$22</v>
      </c>
      <c r="R22" s="7">
        <f t="shared" ca="1" si="6"/>
        <v>1</v>
      </c>
      <c r="S22" s="6">
        <f ca="1">IF(is_cat, _xlfn.NUMBERVALUE( tracked_rank &amp; IF(LEN(budget_rank)=1, "0", "") &amp; budget_rank), "")</f>
        <v>101</v>
      </c>
      <c r="T22" t="str">
        <f t="shared" ca="1" si="7"/>
        <v>$S$22:$S$22</v>
      </c>
      <c r="U22">
        <f t="shared" ca="1" si="8"/>
        <v>1</v>
      </c>
      <c r="V22" t="str">
        <f t="shared" ca="1" si="9"/>
        <v>$U$22:$U$22</v>
      </c>
      <c r="W22" s="7">
        <f t="shared" ca="1" si="10"/>
        <v>1</v>
      </c>
      <c r="X22" s="57">
        <f t="shared" ca="1" si="11"/>
        <v>61</v>
      </c>
      <c r="Y22" s="58" t="str">
        <f t="shared" ca="1" si="12"/>
        <v>Enter Savings Category…</v>
      </c>
      <c r="Z22" s="60">
        <f t="shared" ca="1" si="13"/>
        <v>0</v>
      </c>
      <c r="AA22" s="60">
        <f t="shared" ca="1" si="14"/>
        <v>0</v>
      </c>
      <c r="AB22" s="59" t="str">
        <f t="shared" ca="1" si="15"/>
        <v>-</v>
      </c>
      <c r="AC22" s="60">
        <f t="shared" ca="1" si="16"/>
        <v>0</v>
      </c>
      <c r="AD22" s="60">
        <f t="shared" ca="1" si="17"/>
        <v>0</v>
      </c>
      <c r="AF22" s="6"/>
      <c r="AI22" s="75" t="str">
        <f>Calculations!E41</f>
        <v>Total</v>
      </c>
      <c r="AJ22" s="76">
        <f ca="1">Calculations!F41</f>
        <v>0</v>
      </c>
      <c r="AK22" s="7"/>
      <c r="AM22" s="6"/>
      <c r="AR22" s="7"/>
    </row>
    <row r="23" spans="3:44" x14ac:dyDescent="0.2">
      <c r="C23" s="6" cm="1">
        <f t="array" aca="1" ref="C23" ca="1">IF(C22=-1,-1,
      IF(C22&lt;income_max_row, 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71</v>
      </c>
      <c r="D23" s="7">
        <f t="shared" ca="1" si="0"/>
        <v>60</v>
      </c>
      <c r="E23" s="6" cm="1">
        <f t="array" aca="1" ref="E23" ca="1">1*OR(row_id=income_header_row, row_id=expenses_header_row, row_id=savings_header_row)</f>
        <v>0</v>
      </c>
      <c r="F23">
        <f t="shared" ca="1" si="1"/>
        <v>0</v>
      </c>
      <c r="G23" cm="1">
        <f t="array" aca="1" ref="G23" ca="1">1*OR(row_id=income_total_row, row_id=expenses_total_row, row_id=savings_total_row)</f>
        <v>1</v>
      </c>
      <c r="H23" s="7">
        <f t="shared" ca="1" si="2"/>
        <v>0</v>
      </c>
      <c r="I23" s="6" t="str" cm="1">
        <f t="array" aca="1" ref="I23" ca="1">IFERROR(INDEX('Budget Planning'!$C:$C, header_row_id),"")</f>
        <v>Savings</v>
      </c>
      <c r="J23" t="str" cm="1">
        <f t="array" aca="1" ref="J23" ca="1">IFERROR(INDEX('Budget Planning'!$C:$C, row_id),"")</f>
        <v>Total</v>
      </c>
      <c r="K23" s="54" cm="1">
        <f t="array" aca="1" ref="K2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3" s="55" cm="1">
        <f t="array" aca="1" ref="L23" ca="1">IF(OR(is_header, is_empty), "",
      INDEX('Budget Planning'!$E:$EM, row_id,
                  MATCH(IF(selected_period="Total Year", selected_year, DATE(selected_year, selected_period, 1)), 'Budget Planning'!$E$9:$EM$9, 0)  ))</f>
        <v>0</v>
      </c>
      <c r="M23" s="6" t="str" cm="1">
        <f t="array" aca="1" ref="M23" ca="1">IF(is_cat,
       IF(header_row_id=income_header_row, MATCH(income_min_row, $C:$C, 0),
           IF(header_row_id=expenses_header_row, MATCH(expenses_min_row, $C:$C, 0),
               IF(header_row_id=savings_header_row, MATCH(savings_min_row, $C:$C, 0),""))), "")</f>
        <v/>
      </c>
      <c r="N23" s="7" t="str" cm="1">
        <f t="array" aca="1" ref="N23" ca="1">IF(is_cat,
       IF(header_row_id=income_header_row, MATCH(income_max_row, $C:$C, 0),
           IF(header_row_id=expenses_header_row, MATCH(expenses_max_row, $C:$C, 0),
               IF(header_row_id=savings_header_row, MATCH(savings_max_row, $C:$C, 0),""))), "")</f>
        <v/>
      </c>
      <c r="O23" s="6" t="str">
        <f t="shared" ca="1" si="3"/>
        <v/>
      </c>
      <c r="P23" t="str">
        <f t="shared" ca="1" si="4"/>
        <v/>
      </c>
      <c r="Q23" t="str">
        <f t="shared" ca="1" si="5"/>
        <v/>
      </c>
      <c r="R23" s="7" t="str">
        <f t="shared" ca="1" si="6"/>
        <v/>
      </c>
      <c r="S23" s="6" t="str">
        <f ca="1">IF(is_cat, _xlfn.NUMBERVALUE( tracked_rank &amp; IF(LEN(budget_rank)=1, "0", "") &amp; budget_rank), "")</f>
        <v/>
      </c>
      <c r="T23" t="str">
        <f t="shared" ca="1" si="7"/>
        <v/>
      </c>
      <c r="U23" t="str">
        <f t="shared" ca="1" si="8"/>
        <v/>
      </c>
      <c r="V23" t="str">
        <f t="shared" ca="1" si="9"/>
        <v/>
      </c>
      <c r="W23" s="7" t="str">
        <f t="shared" ca="1" si="10"/>
        <v/>
      </c>
      <c r="X23" s="57">
        <f t="shared" ca="1" si="11"/>
        <v>71</v>
      </c>
      <c r="Y23" s="58" t="str">
        <f t="shared" ca="1" si="12"/>
        <v>Total</v>
      </c>
      <c r="Z23" s="60">
        <f t="shared" ca="1" si="13"/>
        <v>0</v>
      </c>
      <c r="AA23" s="60">
        <f t="shared" ca="1" si="14"/>
        <v>0</v>
      </c>
      <c r="AB23" s="59" t="str">
        <f t="shared" ca="1" si="15"/>
        <v>-</v>
      </c>
      <c r="AC23" s="60">
        <f t="shared" ca="1" si="16"/>
        <v>0</v>
      </c>
      <c r="AD23" s="60">
        <f t="shared" ca="1" si="17"/>
        <v>0</v>
      </c>
      <c r="AF23" s="6"/>
      <c r="AK23" s="7"/>
      <c r="AM23" s="6"/>
      <c r="AR23" s="7"/>
    </row>
    <row r="24" spans="3:44" x14ac:dyDescent="0.2">
      <c r="C24" s="6" cm="1">
        <f t="array" aca="1" ref="C24" ca="1">IF(C23=-1,-1,
      IF(C23&lt;income_max_row, 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-1</v>
      </c>
      <c r="D24" s="7">
        <f t="shared" ca="1" si="0"/>
        <v>-1</v>
      </c>
      <c r="E24" s="6" cm="1">
        <f t="array" aca="1" ref="E24" ca="1">1*OR(row_id=income_header_row, row_id=expenses_header_row, row_id=savings_header_row)</f>
        <v>0</v>
      </c>
      <c r="F24">
        <f t="shared" ca="1" si="1"/>
        <v>0</v>
      </c>
      <c r="G24" cm="1">
        <f t="array" aca="1" ref="G24" ca="1">1*OR(row_id=income_total_row, row_id=expenses_total_row, row_id=savings_total_row)</f>
        <v>0</v>
      </c>
      <c r="H24" s="7">
        <f t="shared" ca="1" si="2"/>
        <v>1</v>
      </c>
      <c r="I24" s="6" t="str" cm="1">
        <f t="array" aca="1" ref="I24" ca="1">IFERROR(INDEX('Budget Planning'!$C:$C, header_row_id),"")</f>
        <v/>
      </c>
      <c r="J24" t="str" cm="1">
        <f t="array" aca="1" ref="J24" ca="1">IFERROR(INDEX('Budget Planning'!$C:$C, row_id),"")</f>
        <v/>
      </c>
      <c r="K24" s="54" t="str" cm="1">
        <f t="array" aca="1" ref="K2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4" s="55" t="str" cm="1">
        <f t="array" aca="1" ref="L24" ca="1">IF(OR(is_header, is_empty), "",
      INDEX('Budget Planning'!$E:$EM, row_id,
                  MATCH(IF(selected_period="Total Year", selected_year, DATE(selected_year, selected_period, 1)), 'Budget Planning'!$E$9:$EM$9, 0)  ))</f>
        <v/>
      </c>
      <c r="M24" s="6" t="str" cm="1">
        <f t="array" aca="1" ref="M24" ca="1">IF(is_cat,
       IF(header_row_id=income_header_row, MATCH(income_min_row, $C:$C, 0),
           IF(header_row_id=expenses_header_row, MATCH(expenses_min_row, $C:$C, 0),
               IF(header_row_id=savings_header_row, MATCH(savings_min_row, $C:$C, 0),""))), "")</f>
        <v/>
      </c>
      <c r="N24" s="7" t="str" cm="1">
        <f t="array" aca="1" ref="N24" ca="1">IF(is_cat,
       IF(header_row_id=income_header_row, MATCH(income_max_row, $C:$C, 0),
           IF(header_row_id=expenses_header_row, MATCH(expenses_max_row, $C:$C, 0),
               IF(header_row_id=savings_header_row, MATCH(savings_max_row, $C:$C, 0),""))), "")</f>
        <v/>
      </c>
      <c r="O24" s="6" t="str">
        <f t="shared" ca="1" si="3"/>
        <v/>
      </c>
      <c r="P24" t="str">
        <f t="shared" ca="1" si="4"/>
        <v/>
      </c>
      <c r="Q24" t="str">
        <f t="shared" ca="1" si="5"/>
        <v/>
      </c>
      <c r="R24" s="7" t="str">
        <f t="shared" ca="1" si="6"/>
        <v/>
      </c>
      <c r="S24" s="6" t="str">
        <f ca="1">IF(is_cat, _xlfn.NUMBERVALUE( tracked_rank &amp; IF(LEN(budget_rank)=1, "0", "") &amp; budget_rank), "")</f>
        <v/>
      </c>
      <c r="T24" t="str">
        <f t="shared" ca="1" si="7"/>
        <v/>
      </c>
      <c r="U24" t="str">
        <f t="shared" ca="1" si="8"/>
        <v/>
      </c>
      <c r="V24" t="str">
        <f t="shared" ca="1" si="9"/>
        <v/>
      </c>
      <c r="W24" s="7" t="str">
        <f t="shared" ca="1" si="10"/>
        <v/>
      </c>
      <c r="X24" s="57">
        <f t="shared" ca="1" si="11"/>
        <v>-1</v>
      </c>
      <c r="Y24" s="58" t="str">
        <f t="shared" ca="1" si="12"/>
        <v/>
      </c>
      <c r="Z24" s="60" t="str">
        <f t="shared" ca="1" si="13"/>
        <v/>
      </c>
      <c r="AA24" s="60" t="str">
        <f t="shared" ca="1" si="14"/>
        <v/>
      </c>
      <c r="AB24" s="59" t="str">
        <f t="shared" ca="1" si="15"/>
        <v/>
      </c>
      <c r="AC24" s="60" t="str">
        <f t="shared" ca="1" si="16"/>
        <v/>
      </c>
      <c r="AD24" s="60" t="str">
        <f t="shared" ca="1" si="17"/>
        <v/>
      </c>
      <c r="AF24" s="8"/>
      <c r="AG24" s="9"/>
      <c r="AH24" s="9"/>
      <c r="AI24" s="9"/>
      <c r="AJ24" s="9"/>
      <c r="AK24" s="10"/>
      <c r="AM24" s="8"/>
      <c r="AN24" s="9"/>
      <c r="AO24" s="9"/>
      <c r="AP24" s="9"/>
      <c r="AQ24" s="9"/>
      <c r="AR24" s="10"/>
    </row>
    <row r="25" spans="3:44" x14ac:dyDescent="0.2">
      <c r="C25" s="6" cm="1">
        <f t="array" aca="1" ref="C25" ca="1">IF(C24=-1,-1,
      IF(C24&lt;income_max_row, 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-1</v>
      </c>
      <c r="D25" s="7">
        <f t="shared" ca="1" si="0"/>
        <v>-1</v>
      </c>
      <c r="E25" s="6" cm="1">
        <f t="array" aca="1" ref="E25" ca="1">1*OR(row_id=income_header_row, row_id=expenses_header_row, row_id=savings_header_row)</f>
        <v>0</v>
      </c>
      <c r="F25">
        <f t="shared" ca="1" si="1"/>
        <v>0</v>
      </c>
      <c r="G25" cm="1">
        <f t="array" aca="1" ref="G25" ca="1">1*OR(row_id=income_total_row, row_id=expenses_total_row, row_id=savings_total_row)</f>
        <v>0</v>
      </c>
      <c r="H25" s="7">
        <f t="shared" ca="1" si="2"/>
        <v>1</v>
      </c>
      <c r="I25" s="6" t="str" cm="1">
        <f t="array" aca="1" ref="I25" ca="1">IFERROR(INDEX('Budget Planning'!$C:$C, header_row_id),"")</f>
        <v/>
      </c>
      <c r="J25" t="str" cm="1">
        <f t="array" aca="1" ref="J25" ca="1">IFERROR(INDEX('Budget Planning'!$C:$C, row_id),"")</f>
        <v/>
      </c>
      <c r="K25" s="54" t="str" cm="1">
        <f t="array" aca="1" ref="K2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5" s="55" t="str" cm="1">
        <f t="array" aca="1" ref="L25" ca="1">IF(OR(is_header, is_empty), "",
      INDEX('Budget Planning'!$E:$EM, row_id,
                  MATCH(IF(selected_period="Total Year", selected_year, DATE(selected_year, selected_period, 1)), 'Budget Planning'!$E$9:$EM$9, 0)  ))</f>
        <v/>
      </c>
      <c r="M25" s="6" t="str" cm="1">
        <f t="array" aca="1" ref="M25" ca="1">IF(is_cat,
       IF(header_row_id=income_header_row, MATCH(income_min_row, $C:$C, 0),
           IF(header_row_id=expenses_header_row, MATCH(expenses_min_row, $C:$C, 0),
               IF(header_row_id=savings_header_row, MATCH(savings_min_row, $C:$C, 0),""))), "")</f>
        <v/>
      </c>
      <c r="N25" s="7" t="str" cm="1">
        <f t="array" aca="1" ref="N25" ca="1">IF(is_cat,
       IF(header_row_id=income_header_row, MATCH(income_max_row, $C:$C, 0),
           IF(header_row_id=expenses_header_row, MATCH(expenses_max_row, $C:$C, 0),
               IF(header_row_id=savings_header_row, MATCH(savings_max_row, $C:$C, 0),""))), "")</f>
        <v/>
      </c>
      <c r="O25" s="6" t="str">
        <f t="shared" ca="1" si="3"/>
        <v/>
      </c>
      <c r="P25" t="str">
        <f t="shared" ca="1" si="4"/>
        <v/>
      </c>
      <c r="Q25" t="str">
        <f t="shared" ca="1" si="5"/>
        <v/>
      </c>
      <c r="R25" s="7" t="str">
        <f t="shared" ca="1" si="6"/>
        <v/>
      </c>
      <c r="S25" s="6" t="str">
        <f ca="1">IF(is_cat, _xlfn.NUMBERVALUE( tracked_rank &amp; IF(LEN(budget_rank)=1, "0", "") &amp; budget_rank), "")</f>
        <v/>
      </c>
      <c r="T25" t="str">
        <f t="shared" ca="1" si="7"/>
        <v/>
      </c>
      <c r="U25" t="str">
        <f t="shared" ca="1" si="8"/>
        <v/>
      </c>
      <c r="V25" t="str">
        <f t="shared" ca="1" si="9"/>
        <v/>
      </c>
      <c r="W25" s="7" t="str">
        <f t="shared" ca="1" si="10"/>
        <v/>
      </c>
      <c r="X25" s="57">
        <f t="shared" ca="1" si="11"/>
        <v>-1</v>
      </c>
      <c r="Y25" s="58" t="str">
        <f t="shared" ca="1" si="12"/>
        <v/>
      </c>
      <c r="Z25" s="60" t="str">
        <f t="shared" ca="1" si="13"/>
        <v/>
      </c>
      <c r="AA25" s="60" t="str">
        <f t="shared" ca="1" si="14"/>
        <v/>
      </c>
      <c r="AB25" s="59" t="str">
        <f t="shared" ca="1" si="15"/>
        <v/>
      </c>
      <c r="AC25" s="60" t="str">
        <f t="shared" ca="1" si="16"/>
        <v/>
      </c>
      <c r="AD25" s="60" t="str">
        <f t="shared" ca="1" si="17"/>
        <v/>
      </c>
    </row>
    <row r="26" spans="3:44" x14ac:dyDescent="0.2">
      <c r="C26" s="6" cm="1">
        <f t="array" aca="1" ref="C26" ca="1">IF(C25=-1,-1,
      IF(C25&lt;income_max_row, 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-1</v>
      </c>
      <c r="D26" s="7">
        <f t="shared" ca="1" si="0"/>
        <v>-1</v>
      </c>
      <c r="E26" s="6" cm="1">
        <f t="array" aca="1" ref="E26" ca="1">1*OR(row_id=income_header_row, row_id=expenses_header_row, row_id=savings_header_row)</f>
        <v>0</v>
      </c>
      <c r="F26">
        <f t="shared" ca="1" si="1"/>
        <v>0</v>
      </c>
      <c r="G26" cm="1">
        <f t="array" aca="1" ref="G26" ca="1">1*OR(row_id=income_total_row, row_id=expenses_total_row, row_id=savings_total_row)</f>
        <v>0</v>
      </c>
      <c r="H26" s="7">
        <f t="shared" ca="1" si="2"/>
        <v>1</v>
      </c>
      <c r="I26" s="6" t="str" cm="1">
        <f t="array" aca="1" ref="I26" ca="1">IFERROR(INDEX('Budget Planning'!$C:$C, header_row_id),"")</f>
        <v/>
      </c>
      <c r="J26" t="str" cm="1">
        <f t="array" aca="1" ref="J26" ca="1">IFERROR(INDEX('Budget Planning'!$C:$C, row_id),"")</f>
        <v/>
      </c>
      <c r="K26" s="54" t="str" cm="1">
        <f t="array" aca="1" ref="K2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6" s="55" t="str" cm="1">
        <f t="array" aca="1" ref="L26" ca="1">IF(OR(is_header, is_empty), "",
      INDEX('Budget Planning'!$E:$EM, row_id,
                  MATCH(IF(selected_period="Total Year", selected_year, DATE(selected_year, selected_period, 1)), 'Budget Planning'!$E$9:$EM$9, 0)  ))</f>
        <v/>
      </c>
      <c r="M26" s="6" t="str" cm="1">
        <f t="array" aca="1" ref="M26" ca="1">IF(is_cat,
       IF(header_row_id=income_header_row, MATCH(income_min_row, $C:$C, 0),
           IF(header_row_id=expenses_header_row, MATCH(expenses_min_row, $C:$C, 0),
               IF(header_row_id=savings_header_row, MATCH(savings_min_row, $C:$C, 0),""))), "")</f>
        <v/>
      </c>
      <c r="N26" s="7" t="str" cm="1">
        <f t="array" aca="1" ref="N26" ca="1">IF(is_cat,
       IF(header_row_id=income_header_row, MATCH(income_max_row, $C:$C, 0),
           IF(header_row_id=expenses_header_row, MATCH(expenses_max_row, $C:$C, 0),
               IF(header_row_id=savings_header_row, MATCH(savings_max_row, $C:$C, 0),""))), "")</f>
        <v/>
      </c>
      <c r="O26" s="6" t="str">
        <f t="shared" ca="1" si="3"/>
        <v/>
      </c>
      <c r="P26" t="str">
        <f t="shared" ca="1" si="4"/>
        <v/>
      </c>
      <c r="Q26" t="str">
        <f t="shared" ca="1" si="5"/>
        <v/>
      </c>
      <c r="R26" s="7" t="str">
        <f t="shared" ca="1" si="6"/>
        <v/>
      </c>
      <c r="S26" s="6" t="str">
        <f ca="1">IF(is_cat, _xlfn.NUMBERVALUE( tracked_rank &amp; IF(LEN(budget_rank)=1, "0", "") &amp; budget_rank), "")</f>
        <v/>
      </c>
      <c r="T26" t="str">
        <f t="shared" ca="1" si="7"/>
        <v/>
      </c>
      <c r="U26" t="str">
        <f t="shared" ca="1" si="8"/>
        <v/>
      </c>
      <c r="V26" t="str">
        <f t="shared" ca="1" si="9"/>
        <v/>
      </c>
      <c r="W26" s="7" t="str">
        <f t="shared" ca="1" si="10"/>
        <v/>
      </c>
      <c r="X26" s="57">
        <f t="shared" ca="1" si="11"/>
        <v>-1</v>
      </c>
      <c r="Y26" s="58" t="str">
        <f t="shared" ca="1" si="12"/>
        <v/>
      </c>
      <c r="Z26" s="60" t="str">
        <f t="shared" ca="1" si="13"/>
        <v/>
      </c>
      <c r="AA26" s="60" t="str">
        <f t="shared" ca="1" si="14"/>
        <v/>
      </c>
      <c r="AB26" s="59" t="str">
        <f t="shared" ca="1" si="15"/>
        <v/>
      </c>
      <c r="AC26" s="60" t="str">
        <f t="shared" ca="1" si="16"/>
        <v/>
      </c>
      <c r="AD26" s="60" t="str">
        <f t="shared" ca="1" si="17"/>
        <v/>
      </c>
      <c r="AF26" s="61"/>
      <c r="AG26" s="62"/>
      <c r="AH26" s="62"/>
      <c r="AI26" s="62"/>
      <c r="AJ26" s="62"/>
      <c r="AK26" s="63"/>
      <c r="AM26" s="61"/>
      <c r="AN26" s="62"/>
      <c r="AO26" s="62"/>
      <c r="AP26" s="62"/>
      <c r="AQ26" s="62"/>
      <c r="AR26" s="63"/>
    </row>
    <row r="27" spans="3:44" x14ac:dyDescent="0.2">
      <c r="C27" s="6" cm="1">
        <f t="array" aca="1" ref="C27" ca="1">IF(C26=-1,-1,
      IF(C26&lt;income_max_row, 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-1</v>
      </c>
      <c r="D27" s="7">
        <f t="shared" ca="1" si="0"/>
        <v>-1</v>
      </c>
      <c r="E27" s="6" cm="1">
        <f t="array" aca="1" ref="E27" ca="1">1*OR(row_id=income_header_row, row_id=expenses_header_row, row_id=savings_header_row)</f>
        <v>0</v>
      </c>
      <c r="F27">
        <f t="shared" ca="1" si="1"/>
        <v>0</v>
      </c>
      <c r="G27" cm="1">
        <f t="array" aca="1" ref="G27" ca="1">1*OR(row_id=income_total_row, row_id=expenses_total_row, row_id=savings_total_row)</f>
        <v>0</v>
      </c>
      <c r="H27" s="7">
        <f t="shared" ca="1" si="2"/>
        <v>1</v>
      </c>
      <c r="I27" s="6" t="str" cm="1">
        <f t="array" aca="1" ref="I27" ca="1">IFERROR(INDEX('Budget Planning'!$C:$C, header_row_id),"")</f>
        <v/>
      </c>
      <c r="J27" t="str" cm="1">
        <f t="array" aca="1" ref="J27" ca="1">IFERROR(INDEX('Budget Planning'!$C:$C, row_id),"")</f>
        <v/>
      </c>
      <c r="K27" s="54" t="str" cm="1">
        <f t="array" aca="1" ref="K2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7" s="55" t="str" cm="1">
        <f t="array" aca="1" ref="L27" ca="1">IF(OR(is_header, is_empty), "",
      INDEX('Budget Planning'!$E:$EM, row_id,
                  MATCH(IF(selected_period="Total Year", selected_year, DATE(selected_year, selected_period, 1)), 'Budget Planning'!$E$9:$EM$9, 0)  ))</f>
        <v/>
      </c>
      <c r="M27" s="6" t="str" cm="1">
        <f t="array" aca="1" ref="M27" ca="1">IF(is_cat,
       IF(header_row_id=income_header_row, MATCH(income_min_row, $C:$C, 0),
           IF(header_row_id=expenses_header_row, MATCH(expenses_min_row, $C:$C, 0),
               IF(header_row_id=savings_header_row, MATCH(savings_min_row, $C:$C, 0),""))), "")</f>
        <v/>
      </c>
      <c r="N27" s="7" t="str" cm="1">
        <f t="array" aca="1" ref="N27" ca="1">IF(is_cat,
       IF(header_row_id=income_header_row, MATCH(income_max_row, $C:$C, 0),
           IF(header_row_id=expenses_header_row, MATCH(expenses_max_row, $C:$C, 0),
               IF(header_row_id=savings_header_row, MATCH(savings_max_row, $C:$C, 0),""))), "")</f>
        <v/>
      </c>
      <c r="O27" s="6" t="str">
        <f t="shared" ca="1" si="3"/>
        <v/>
      </c>
      <c r="P27" t="str">
        <f t="shared" ca="1" si="4"/>
        <v/>
      </c>
      <c r="Q27" t="str">
        <f t="shared" ca="1" si="5"/>
        <v/>
      </c>
      <c r="R27" s="7" t="str">
        <f t="shared" ca="1" si="6"/>
        <v/>
      </c>
      <c r="S27" s="6" t="str">
        <f ca="1">IF(is_cat, _xlfn.NUMBERVALUE( tracked_rank &amp; IF(LEN(budget_rank)=1, "0", "") &amp; budget_rank), "")</f>
        <v/>
      </c>
      <c r="T27" t="str">
        <f t="shared" ca="1" si="7"/>
        <v/>
      </c>
      <c r="U27" t="str">
        <f t="shared" ca="1" si="8"/>
        <v/>
      </c>
      <c r="V27" t="str">
        <f t="shared" ca="1" si="9"/>
        <v/>
      </c>
      <c r="W27" s="7" t="str">
        <f t="shared" ca="1" si="10"/>
        <v/>
      </c>
      <c r="X27" s="57">
        <f t="shared" ca="1" si="11"/>
        <v>-1</v>
      </c>
      <c r="Y27" s="58" t="str">
        <f t="shared" ca="1" si="12"/>
        <v/>
      </c>
      <c r="Z27" s="60" t="str">
        <f t="shared" ca="1" si="13"/>
        <v/>
      </c>
      <c r="AA27" s="60" t="str">
        <f t="shared" ca="1" si="14"/>
        <v/>
      </c>
      <c r="AB27" s="59" t="str">
        <f t="shared" ca="1" si="15"/>
        <v/>
      </c>
      <c r="AC27" s="60" t="str">
        <f t="shared" ca="1" si="16"/>
        <v/>
      </c>
      <c r="AD27" s="60" t="str">
        <f t="shared" ca="1" si="17"/>
        <v/>
      </c>
      <c r="AF27" s="6"/>
      <c r="AK27" s="7"/>
      <c r="AM27" s="6"/>
      <c r="AR27" s="7"/>
    </row>
    <row r="28" spans="3:44" x14ac:dyDescent="0.2">
      <c r="C28" s="6" cm="1">
        <f t="array" aca="1" ref="C28" ca="1">IF(C27=-1,-1,
      IF(C27&lt;income_max_row, 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-1</v>
      </c>
      <c r="D28" s="7">
        <f t="shared" ca="1" si="0"/>
        <v>-1</v>
      </c>
      <c r="E28" s="6" cm="1">
        <f t="array" aca="1" ref="E28" ca="1">1*OR(row_id=income_header_row, row_id=expenses_header_row, row_id=savings_header_row)</f>
        <v>0</v>
      </c>
      <c r="F28">
        <f t="shared" ca="1" si="1"/>
        <v>0</v>
      </c>
      <c r="G28" cm="1">
        <f t="array" aca="1" ref="G28" ca="1">1*OR(row_id=income_total_row, row_id=expenses_total_row, row_id=savings_total_row)</f>
        <v>0</v>
      </c>
      <c r="H28" s="7">
        <f t="shared" ca="1" si="2"/>
        <v>1</v>
      </c>
      <c r="I28" s="6" t="str" cm="1">
        <f t="array" aca="1" ref="I28" ca="1">IFERROR(INDEX('Budget Planning'!$C:$C, header_row_id),"")</f>
        <v/>
      </c>
      <c r="J28" t="str" cm="1">
        <f t="array" aca="1" ref="J28" ca="1">IFERROR(INDEX('Budget Planning'!$C:$C, row_id),"")</f>
        <v/>
      </c>
      <c r="K28" s="54" t="str" cm="1">
        <f t="array" aca="1" ref="K2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8" s="55" t="str" cm="1">
        <f t="array" aca="1" ref="L28" ca="1">IF(OR(is_header, is_empty), "",
      INDEX('Budget Planning'!$E:$EM, row_id,
                  MATCH(IF(selected_period="Total Year", selected_year, DATE(selected_year, selected_period, 1)), 'Budget Planning'!$E$9:$EM$9, 0)  ))</f>
        <v/>
      </c>
      <c r="M28" s="6" t="str" cm="1">
        <f t="array" aca="1" ref="M28" ca="1">IF(is_cat,
       IF(header_row_id=income_header_row, MATCH(income_min_row, $C:$C, 0),
           IF(header_row_id=expenses_header_row, MATCH(expenses_min_row, $C:$C, 0),
               IF(header_row_id=savings_header_row, MATCH(savings_min_row, $C:$C, 0),""))), "")</f>
        <v/>
      </c>
      <c r="N28" s="7" t="str" cm="1">
        <f t="array" aca="1" ref="N28" ca="1">IF(is_cat,
       IF(header_row_id=income_header_row, MATCH(income_max_row, $C:$C, 0),
           IF(header_row_id=expenses_header_row, MATCH(expenses_max_row, $C:$C, 0),
               IF(header_row_id=savings_header_row, MATCH(savings_max_row, $C:$C, 0),""))), "")</f>
        <v/>
      </c>
      <c r="O28" s="6" t="str">
        <f t="shared" ca="1" si="3"/>
        <v/>
      </c>
      <c r="P28" t="str">
        <f t="shared" ca="1" si="4"/>
        <v/>
      </c>
      <c r="Q28" t="str">
        <f t="shared" ca="1" si="5"/>
        <v/>
      </c>
      <c r="R28" s="7" t="str">
        <f t="shared" ca="1" si="6"/>
        <v/>
      </c>
      <c r="S28" s="6" t="str">
        <f ca="1">IF(is_cat, _xlfn.NUMBERVALUE( tracked_rank &amp; IF(LEN(budget_rank)=1, "0", "") &amp; budget_rank), "")</f>
        <v/>
      </c>
      <c r="T28" t="str">
        <f t="shared" ca="1" si="7"/>
        <v/>
      </c>
      <c r="U28" t="str">
        <f t="shared" ca="1" si="8"/>
        <v/>
      </c>
      <c r="V28" t="str">
        <f t="shared" ca="1" si="9"/>
        <v/>
      </c>
      <c r="W28" s="7" t="str">
        <f t="shared" ca="1" si="10"/>
        <v/>
      </c>
      <c r="X28" s="57">
        <f t="shared" ca="1" si="11"/>
        <v>-1</v>
      </c>
      <c r="Y28" s="58" t="str">
        <f t="shared" ca="1" si="12"/>
        <v/>
      </c>
      <c r="Z28" s="60" t="str">
        <f t="shared" ca="1" si="13"/>
        <v/>
      </c>
      <c r="AA28" s="60" t="str">
        <f t="shared" ca="1" si="14"/>
        <v/>
      </c>
      <c r="AB28" s="59" t="str">
        <f t="shared" ca="1" si="15"/>
        <v/>
      </c>
      <c r="AC28" s="60" t="str">
        <f t="shared" ca="1" si="16"/>
        <v/>
      </c>
      <c r="AD28" s="60" t="str">
        <f t="shared" ca="1" si="17"/>
        <v/>
      </c>
      <c r="AF28" s="6"/>
      <c r="AK28" s="7"/>
      <c r="AM28" s="6"/>
      <c r="AR28" s="7"/>
    </row>
    <row r="29" spans="3:44" x14ac:dyDescent="0.2">
      <c r="C29" s="6" cm="1">
        <f t="array" aca="1" ref="C29" ca="1">IF(C28=-1,-1,
      IF(C28&lt;income_max_row, 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-1</v>
      </c>
      <c r="D29" s="7">
        <f t="shared" ca="1" si="0"/>
        <v>-1</v>
      </c>
      <c r="E29" s="6" cm="1">
        <f t="array" aca="1" ref="E29" ca="1">1*OR(row_id=income_header_row, row_id=expenses_header_row, row_id=savings_header_row)</f>
        <v>0</v>
      </c>
      <c r="F29">
        <f t="shared" ca="1" si="1"/>
        <v>0</v>
      </c>
      <c r="G29" cm="1">
        <f t="array" aca="1" ref="G29" ca="1">1*OR(row_id=income_total_row, row_id=expenses_total_row, row_id=savings_total_row)</f>
        <v>0</v>
      </c>
      <c r="H29" s="7">
        <f t="shared" ca="1" si="2"/>
        <v>1</v>
      </c>
      <c r="I29" s="6" t="str" cm="1">
        <f t="array" aca="1" ref="I29" ca="1">IFERROR(INDEX('Budget Planning'!$C:$C, header_row_id),"")</f>
        <v/>
      </c>
      <c r="J29" t="str" cm="1">
        <f t="array" aca="1" ref="J29" ca="1">IFERROR(INDEX('Budget Planning'!$C:$C, row_id),"")</f>
        <v/>
      </c>
      <c r="K29" s="54" t="str" cm="1">
        <f t="array" aca="1" ref="K2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9" s="55" t="str" cm="1">
        <f t="array" aca="1" ref="L29" ca="1">IF(OR(is_header, is_empty), "",
      INDEX('Budget Planning'!$E:$EM, row_id,
                  MATCH(IF(selected_period="Total Year", selected_year, DATE(selected_year, selected_period, 1)), 'Budget Planning'!$E$9:$EM$9, 0)  ))</f>
        <v/>
      </c>
      <c r="M29" s="6" t="str" cm="1">
        <f t="array" aca="1" ref="M29" ca="1">IF(is_cat,
       IF(header_row_id=income_header_row, MATCH(income_min_row, $C:$C, 0),
           IF(header_row_id=expenses_header_row, MATCH(expenses_min_row, $C:$C, 0),
               IF(header_row_id=savings_header_row, MATCH(savings_min_row, $C:$C, 0),""))), "")</f>
        <v/>
      </c>
      <c r="N29" s="7" t="str" cm="1">
        <f t="array" aca="1" ref="N29" ca="1">IF(is_cat,
       IF(header_row_id=income_header_row, MATCH(income_max_row, $C:$C, 0),
           IF(header_row_id=expenses_header_row, MATCH(expenses_max_row, $C:$C, 0),
               IF(header_row_id=savings_header_row, MATCH(savings_max_row, $C:$C, 0),""))), "")</f>
        <v/>
      </c>
      <c r="O29" s="6" t="str">
        <f t="shared" ca="1" si="3"/>
        <v/>
      </c>
      <c r="P29" t="str">
        <f t="shared" ca="1" si="4"/>
        <v/>
      </c>
      <c r="Q29" t="str">
        <f t="shared" ca="1" si="5"/>
        <v/>
      </c>
      <c r="R29" s="7" t="str">
        <f t="shared" ca="1" si="6"/>
        <v/>
      </c>
      <c r="S29" s="6" t="str">
        <f ca="1">IF(is_cat, _xlfn.NUMBERVALUE( tracked_rank &amp; IF(LEN(budget_rank)=1, "0", "") &amp; budget_rank), "")</f>
        <v/>
      </c>
      <c r="T29" t="str">
        <f t="shared" ca="1" si="7"/>
        <v/>
      </c>
      <c r="U29" t="str">
        <f t="shared" ca="1" si="8"/>
        <v/>
      </c>
      <c r="V29" t="str">
        <f t="shared" ca="1" si="9"/>
        <v/>
      </c>
      <c r="W29" s="7" t="str">
        <f t="shared" ca="1" si="10"/>
        <v/>
      </c>
      <c r="X29" s="57">
        <f t="shared" ca="1" si="11"/>
        <v>-1</v>
      </c>
      <c r="Y29" s="58" t="str">
        <f t="shared" ca="1" si="12"/>
        <v/>
      </c>
      <c r="Z29" s="60" t="str">
        <f t="shared" ca="1" si="13"/>
        <v/>
      </c>
      <c r="AA29" s="60" t="str">
        <f t="shared" ca="1" si="14"/>
        <v/>
      </c>
      <c r="AB29" s="59" t="str">
        <f t="shared" ca="1" si="15"/>
        <v/>
      </c>
      <c r="AC29" s="60" t="str">
        <f t="shared" ca="1" si="16"/>
        <v/>
      </c>
      <c r="AD29" s="60" t="str">
        <f t="shared" ca="1" si="17"/>
        <v/>
      </c>
      <c r="AF29" s="6"/>
      <c r="AI29" s="73" t="str">
        <f ca="1">Calculations!I35</f>
        <v/>
      </c>
      <c r="AJ29" s="74" t="str">
        <f ca="1">Calculations!J35</f>
        <v/>
      </c>
      <c r="AK29" s="7"/>
      <c r="AM29" s="6"/>
      <c r="AP29" s="73" t="str">
        <f ca="1">Calculations!M35</f>
        <v/>
      </c>
      <c r="AQ29" s="74" t="str">
        <f ca="1">Calculations!N35</f>
        <v/>
      </c>
      <c r="AR29" s="7"/>
    </row>
    <row r="30" spans="3:44" x14ac:dyDescent="0.2">
      <c r="C30" s="6" cm="1">
        <f t="array" aca="1" ref="C30" ca="1">IF(C29=-1,-1,
      IF(C29&lt;income_max_row, 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-1</v>
      </c>
      <c r="D30" s="7">
        <f t="shared" ca="1" si="0"/>
        <v>-1</v>
      </c>
      <c r="E30" s="6" cm="1">
        <f t="array" aca="1" ref="E30" ca="1">1*OR(row_id=income_header_row, row_id=expenses_header_row, row_id=savings_header_row)</f>
        <v>0</v>
      </c>
      <c r="F30">
        <f t="shared" ca="1" si="1"/>
        <v>0</v>
      </c>
      <c r="G30" cm="1">
        <f t="array" aca="1" ref="G30" ca="1">1*OR(row_id=income_total_row, row_id=expenses_total_row, row_id=savings_total_row)</f>
        <v>0</v>
      </c>
      <c r="H30" s="7">
        <f t="shared" ca="1" si="2"/>
        <v>1</v>
      </c>
      <c r="I30" s="6" t="str" cm="1">
        <f t="array" aca="1" ref="I30" ca="1">IFERROR(INDEX('Budget Planning'!$C:$C, header_row_id),"")</f>
        <v/>
      </c>
      <c r="J30" t="str" cm="1">
        <f t="array" aca="1" ref="J30" ca="1">IFERROR(INDEX('Budget Planning'!$C:$C, row_id),"")</f>
        <v/>
      </c>
      <c r="K30" s="54" t="str" cm="1">
        <f t="array" aca="1" ref="K3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0" s="55" t="str" cm="1">
        <f t="array" aca="1" ref="L30" ca="1">IF(OR(is_header, is_empty), "",
      INDEX('Budget Planning'!$E:$EM, row_id,
                  MATCH(IF(selected_period="Total Year", selected_year, DATE(selected_year, selected_period, 1)), 'Budget Planning'!$E$9:$EM$9, 0)  ))</f>
        <v/>
      </c>
      <c r="M30" s="6" t="str" cm="1">
        <f t="array" aca="1" ref="M30" ca="1">IF(is_cat,
       IF(header_row_id=income_header_row, MATCH(income_min_row, $C:$C, 0),
           IF(header_row_id=expenses_header_row, MATCH(expenses_min_row, $C:$C, 0),
               IF(header_row_id=savings_header_row, MATCH(savings_min_row, $C:$C, 0),""))), "")</f>
        <v/>
      </c>
      <c r="N30" s="7" t="str" cm="1">
        <f t="array" aca="1" ref="N30" ca="1">IF(is_cat,
       IF(header_row_id=income_header_row, MATCH(income_max_row, $C:$C, 0),
           IF(header_row_id=expenses_header_row, MATCH(expenses_max_row, $C:$C, 0),
               IF(header_row_id=savings_header_row, MATCH(savings_max_row, $C:$C, 0),""))), "")</f>
        <v/>
      </c>
      <c r="O30" s="6" t="str">
        <f t="shared" ca="1" si="3"/>
        <v/>
      </c>
      <c r="P30" t="str">
        <f t="shared" ca="1" si="4"/>
        <v/>
      </c>
      <c r="Q30" t="str">
        <f t="shared" ca="1" si="5"/>
        <v/>
      </c>
      <c r="R30" s="7" t="str">
        <f t="shared" ca="1" si="6"/>
        <v/>
      </c>
      <c r="S30" s="6" t="str">
        <f ca="1">IF(is_cat, _xlfn.NUMBERVALUE( tracked_rank &amp; IF(LEN(budget_rank)=1, "0", "") &amp; budget_rank), "")</f>
        <v/>
      </c>
      <c r="T30" t="str">
        <f t="shared" ca="1" si="7"/>
        <v/>
      </c>
      <c r="U30" t="str">
        <f t="shared" ca="1" si="8"/>
        <v/>
      </c>
      <c r="V30" t="str">
        <f t="shared" ca="1" si="9"/>
        <v/>
      </c>
      <c r="W30" s="7" t="str">
        <f t="shared" ca="1" si="10"/>
        <v/>
      </c>
      <c r="X30" s="57">
        <f t="shared" ca="1" si="11"/>
        <v>-1</v>
      </c>
      <c r="Y30" s="58" t="str">
        <f t="shared" ca="1" si="12"/>
        <v/>
      </c>
      <c r="Z30" s="60" t="str">
        <f t="shared" ca="1" si="13"/>
        <v/>
      </c>
      <c r="AA30" s="60" t="str">
        <f t="shared" ca="1" si="14"/>
        <v/>
      </c>
      <c r="AB30" s="59" t="str">
        <f t="shared" ca="1" si="15"/>
        <v/>
      </c>
      <c r="AC30" s="60" t="str">
        <f t="shared" ca="1" si="16"/>
        <v/>
      </c>
      <c r="AD30" s="60" t="str">
        <f t="shared" ca="1" si="17"/>
        <v/>
      </c>
      <c r="AF30" s="6"/>
      <c r="AI30" s="73" t="str">
        <f ca="1">Calculations!I36</f>
        <v/>
      </c>
      <c r="AJ30" s="74" t="str">
        <f ca="1">Calculations!J36</f>
        <v/>
      </c>
      <c r="AK30" s="7"/>
      <c r="AM30" s="6"/>
      <c r="AP30" s="73" t="str">
        <f ca="1">Calculations!M36</f>
        <v/>
      </c>
      <c r="AQ30" s="74" t="str">
        <f ca="1">Calculations!N36</f>
        <v/>
      </c>
      <c r="AR30" s="7"/>
    </row>
    <row r="31" spans="3:44" x14ac:dyDescent="0.2">
      <c r="C31" s="6" cm="1">
        <f t="array" aca="1" ref="C31" ca="1">IF(C30=-1,-1,
      IF(C30&lt;income_max_row, 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-1</v>
      </c>
      <c r="D31" s="7">
        <f t="shared" ca="1" si="0"/>
        <v>-1</v>
      </c>
      <c r="E31" s="6" cm="1">
        <f t="array" aca="1" ref="E31" ca="1">1*OR(row_id=income_header_row, row_id=expenses_header_row, row_id=savings_header_row)</f>
        <v>0</v>
      </c>
      <c r="F31">
        <f t="shared" ca="1" si="1"/>
        <v>0</v>
      </c>
      <c r="G31" cm="1">
        <f t="array" aca="1" ref="G31" ca="1">1*OR(row_id=income_total_row, row_id=expenses_total_row, row_id=savings_total_row)</f>
        <v>0</v>
      </c>
      <c r="H31" s="7">
        <f t="shared" ca="1" si="2"/>
        <v>1</v>
      </c>
      <c r="I31" s="6" t="str" cm="1">
        <f t="array" aca="1" ref="I31" ca="1">IFERROR(INDEX('Budget Planning'!$C:$C, header_row_id),"")</f>
        <v/>
      </c>
      <c r="J31" t="str" cm="1">
        <f t="array" aca="1" ref="J31" ca="1">IFERROR(INDEX('Budget Planning'!$C:$C, row_id),"")</f>
        <v/>
      </c>
      <c r="K31" s="54" t="str" cm="1">
        <f t="array" aca="1" ref="K3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1" s="55" t="str" cm="1">
        <f t="array" aca="1" ref="L31" ca="1">IF(OR(is_header, is_empty), "",
      INDEX('Budget Planning'!$E:$EM, row_id,
                  MATCH(IF(selected_period="Total Year", selected_year, DATE(selected_year, selected_period, 1)), 'Budget Planning'!$E$9:$EM$9, 0)  ))</f>
        <v/>
      </c>
      <c r="M31" s="6" t="str" cm="1">
        <f t="array" aca="1" ref="M31" ca="1">IF(is_cat,
       IF(header_row_id=income_header_row, MATCH(income_min_row, $C:$C, 0),
           IF(header_row_id=expenses_header_row, MATCH(expenses_min_row, $C:$C, 0),
               IF(header_row_id=savings_header_row, MATCH(savings_min_row, $C:$C, 0),""))), "")</f>
        <v/>
      </c>
      <c r="N31" s="7" t="str" cm="1">
        <f t="array" aca="1" ref="N31" ca="1">IF(is_cat,
       IF(header_row_id=income_header_row, MATCH(income_max_row, $C:$C, 0),
           IF(header_row_id=expenses_header_row, MATCH(expenses_max_row, $C:$C, 0),
               IF(header_row_id=savings_header_row, MATCH(savings_max_row, $C:$C, 0),""))), "")</f>
        <v/>
      </c>
      <c r="O31" s="6" t="str">
        <f t="shared" ca="1" si="3"/>
        <v/>
      </c>
      <c r="P31" t="str">
        <f t="shared" ca="1" si="4"/>
        <v/>
      </c>
      <c r="Q31" t="str">
        <f t="shared" ca="1" si="5"/>
        <v/>
      </c>
      <c r="R31" s="7" t="str">
        <f t="shared" ca="1" si="6"/>
        <v/>
      </c>
      <c r="S31" s="6" t="str">
        <f ca="1">IF(is_cat, _xlfn.NUMBERVALUE( tracked_rank &amp; IF(LEN(budget_rank)=1, "0", "") &amp; budget_rank), "")</f>
        <v/>
      </c>
      <c r="T31" t="str">
        <f t="shared" ca="1" si="7"/>
        <v/>
      </c>
      <c r="U31" t="str">
        <f t="shared" ca="1" si="8"/>
        <v/>
      </c>
      <c r="V31" t="str">
        <f t="shared" ca="1" si="9"/>
        <v/>
      </c>
      <c r="W31" s="7" t="str">
        <f t="shared" ca="1" si="10"/>
        <v/>
      </c>
      <c r="X31" s="57">
        <f t="shared" ca="1" si="11"/>
        <v>-1</v>
      </c>
      <c r="Y31" s="58" t="str">
        <f t="shared" ca="1" si="12"/>
        <v/>
      </c>
      <c r="Z31" s="60" t="str">
        <f t="shared" ca="1" si="13"/>
        <v/>
      </c>
      <c r="AA31" s="60" t="str">
        <f t="shared" ca="1" si="14"/>
        <v/>
      </c>
      <c r="AB31" s="59" t="str">
        <f t="shared" ca="1" si="15"/>
        <v/>
      </c>
      <c r="AC31" s="60" t="str">
        <f t="shared" ca="1" si="16"/>
        <v/>
      </c>
      <c r="AD31" s="60" t="str">
        <f t="shared" ca="1" si="17"/>
        <v/>
      </c>
      <c r="AF31" s="6"/>
      <c r="AI31" s="73" t="str">
        <f ca="1">Calculations!I37</f>
        <v/>
      </c>
      <c r="AJ31" s="74" t="str">
        <f ca="1">Calculations!J37</f>
        <v/>
      </c>
      <c r="AK31" s="7"/>
      <c r="AM31" s="6"/>
      <c r="AP31" s="73" t="str">
        <f ca="1">Calculations!M37</f>
        <v/>
      </c>
      <c r="AQ31" s="74" t="str">
        <f ca="1">Calculations!N37</f>
        <v/>
      </c>
      <c r="AR31" s="7"/>
    </row>
    <row r="32" spans="3:44" x14ac:dyDescent="0.2">
      <c r="C32" s="6" cm="1">
        <f t="array" aca="1" ref="C32" ca="1">IF(C31=-1,-1,
      IF(C31&lt;income_max_row, 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-1</v>
      </c>
      <c r="D32" s="7">
        <f t="shared" ca="1" si="0"/>
        <v>-1</v>
      </c>
      <c r="E32" s="6" cm="1">
        <f t="array" aca="1" ref="E32" ca="1">1*OR(row_id=income_header_row, row_id=expenses_header_row, row_id=savings_header_row)</f>
        <v>0</v>
      </c>
      <c r="F32">
        <f t="shared" ca="1" si="1"/>
        <v>0</v>
      </c>
      <c r="G32" cm="1">
        <f t="array" aca="1" ref="G32" ca="1">1*OR(row_id=income_total_row, row_id=expenses_total_row, row_id=savings_total_row)</f>
        <v>0</v>
      </c>
      <c r="H32" s="7">
        <f t="shared" ca="1" si="2"/>
        <v>1</v>
      </c>
      <c r="I32" s="6" t="str" cm="1">
        <f t="array" aca="1" ref="I32" ca="1">IFERROR(INDEX('Budget Planning'!$C:$C, header_row_id),"")</f>
        <v/>
      </c>
      <c r="J32" t="str" cm="1">
        <f t="array" aca="1" ref="J32" ca="1">IFERROR(INDEX('Budget Planning'!$C:$C, row_id),"")</f>
        <v/>
      </c>
      <c r="K32" s="54" t="str" cm="1">
        <f t="array" aca="1" ref="K3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2" s="55" t="str" cm="1">
        <f t="array" aca="1" ref="L32" ca="1">IF(OR(is_header, is_empty), "",
      INDEX('Budget Planning'!$E:$EM, row_id,
                  MATCH(IF(selected_period="Total Year", selected_year, DATE(selected_year, selected_period, 1)), 'Budget Planning'!$E$9:$EM$9, 0)  ))</f>
        <v/>
      </c>
      <c r="M32" s="6" t="str" cm="1">
        <f t="array" aca="1" ref="M32" ca="1">IF(is_cat,
       IF(header_row_id=income_header_row, MATCH(income_min_row, $C:$C, 0),
           IF(header_row_id=expenses_header_row, MATCH(expenses_min_row, $C:$C, 0),
               IF(header_row_id=savings_header_row, MATCH(savings_min_row, $C:$C, 0),""))), "")</f>
        <v/>
      </c>
      <c r="N32" s="7" t="str" cm="1">
        <f t="array" aca="1" ref="N32" ca="1">IF(is_cat,
       IF(header_row_id=income_header_row, MATCH(income_max_row, $C:$C, 0),
           IF(header_row_id=expenses_header_row, MATCH(expenses_max_row, $C:$C, 0),
               IF(header_row_id=savings_header_row, MATCH(savings_max_row, $C:$C, 0),""))), "")</f>
        <v/>
      </c>
      <c r="O32" s="6" t="str">
        <f t="shared" ca="1" si="3"/>
        <v/>
      </c>
      <c r="P32" t="str">
        <f t="shared" ca="1" si="4"/>
        <v/>
      </c>
      <c r="Q32" t="str">
        <f t="shared" ca="1" si="5"/>
        <v/>
      </c>
      <c r="R32" s="7" t="str">
        <f t="shared" ca="1" si="6"/>
        <v/>
      </c>
      <c r="S32" s="6" t="str">
        <f ca="1">IF(is_cat, _xlfn.NUMBERVALUE( tracked_rank &amp; IF(LEN(budget_rank)=1, "0", "") &amp; budget_rank), "")</f>
        <v/>
      </c>
      <c r="T32" t="str">
        <f t="shared" ca="1" si="7"/>
        <v/>
      </c>
      <c r="U32" t="str">
        <f t="shared" ca="1" si="8"/>
        <v/>
      </c>
      <c r="V32" t="str">
        <f t="shared" ca="1" si="9"/>
        <v/>
      </c>
      <c r="W32" s="7" t="str">
        <f t="shared" ca="1" si="10"/>
        <v/>
      </c>
      <c r="X32" s="57">
        <f t="shared" ca="1" si="11"/>
        <v>-1</v>
      </c>
      <c r="Y32" s="58" t="str">
        <f t="shared" ca="1" si="12"/>
        <v/>
      </c>
      <c r="Z32" s="60" t="str">
        <f t="shared" ca="1" si="13"/>
        <v/>
      </c>
      <c r="AA32" s="60" t="str">
        <f t="shared" ca="1" si="14"/>
        <v/>
      </c>
      <c r="AB32" s="59" t="str">
        <f t="shared" ca="1" si="15"/>
        <v/>
      </c>
      <c r="AC32" s="60" t="str">
        <f t="shared" ca="1" si="16"/>
        <v/>
      </c>
      <c r="AD32" s="60" t="str">
        <f t="shared" ca="1" si="17"/>
        <v/>
      </c>
      <c r="AF32" s="6"/>
      <c r="AI32" s="73" t="str">
        <f ca="1">Calculations!I38</f>
        <v/>
      </c>
      <c r="AJ32" s="74" t="str">
        <f ca="1">Calculations!J38</f>
        <v/>
      </c>
      <c r="AK32" s="7"/>
      <c r="AM32" s="6"/>
      <c r="AP32" s="73" t="str">
        <f ca="1">Calculations!M38</f>
        <v/>
      </c>
      <c r="AQ32" s="74" t="str">
        <f ca="1">Calculations!N38</f>
        <v/>
      </c>
      <c r="AR32" s="7"/>
    </row>
    <row r="33" spans="3:44" x14ac:dyDescent="0.2">
      <c r="C33" s="6" cm="1">
        <f t="array" aca="1" ref="C33" ca="1">IF(C32=-1,-1,
      IF(C32&lt;income_max_row, 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-1</v>
      </c>
      <c r="D33" s="7">
        <f t="shared" ca="1" si="0"/>
        <v>-1</v>
      </c>
      <c r="E33" s="6" cm="1">
        <f t="array" aca="1" ref="E33" ca="1">1*OR(row_id=income_header_row, row_id=expenses_header_row, row_id=savings_header_row)</f>
        <v>0</v>
      </c>
      <c r="F33">
        <f t="shared" ca="1" si="1"/>
        <v>0</v>
      </c>
      <c r="G33" cm="1">
        <f t="array" aca="1" ref="G33" ca="1">1*OR(row_id=income_total_row, row_id=expenses_total_row, row_id=savings_total_row)</f>
        <v>0</v>
      </c>
      <c r="H33" s="7">
        <f t="shared" ca="1" si="2"/>
        <v>1</v>
      </c>
      <c r="I33" s="6" t="str" cm="1">
        <f t="array" aca="1" ref="I33" ca="1">IFERROR(INDEX('Budget Planning'!$C:$C, header_row_id),"")</f>
        <v/>
      </c>
      <c r="J33" t="str" cm="1">
        <f t="array" aca="1" ref="J33" ca="1">IFERROR(INDEX('Budget Planning'!$C:$C, row_id),"")</f>
        <v/>
      </c>
      <c r="K33" s="54" t="str" cm="1">
        <f t="array" aca="1" ref="K3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3" s="55" t="str" cm="1">
        <f t="array" aca="1" ref="L33" ca="1">IF(OR(is_header, is_empty), "",
      INDEX('Budget Planning'!$E:$EM, row_id,
                  MATCH(IF(selected_period="Total Year", selected_year, DATE(selected_year, selected_period, 1)), 'Budget Planning'!$E$9:$EM$9, 0)  ))</f>
        <v/>
      </c>
      <c r="M33" s="6" t="str" cm="1">
        <f t="array" aca="1" ref="M33" ca="1">IF(is_cat,
       IF(header_row_id=income_header_row, MATCH(income_min_row, $C:$C, 0),
           IF(header_row_id=expenses_header_row, MATCH(expenses_min_row, $C:$C, 0),
               IF(header_row_id=savings_header_row, MATCH(savings_min_row, $C:$C, 0),""))), "")</f>
        <v/>
      </c>
      <c r="N33" s="7" t="str" cm="1">
        <f t="array" aca="1" ref="N33" ca="1">IF(is_cat,
       IF(header_row_id=income_header_row, MATCH(income_max_row, $C:$C, 0),
           IF(header_row_id=expenses_header_row, MATCH(expenses_max_row, $C:$C, 0),
               IF(header_row_id=savings_header_row, MATCH(savings_max_row, $C:$C, 0),""))), "")</f>
        <v/>
      </c>
      <c r="O33" s="6" t="str">
        <f t="shared" ca="1" si="3"/>
        <v/>
      </c>
      <c r="P33" t="str">
        <f t="shared" ca="1" si="4"/>
        <v/>
      </c>
      <c r="Q33" t="str">
        <f t="shared" ca="1" si="5"/>
        <v/>
      </c>
      <c r="R33" s="7" t="str">
        <f t="shared" ca="1" si="6"/>
        <v/>
      </c>
      <c r="S33" s="6" t="str">
        <f ca="1">IF(is_cat, _xlfn.NUMBERVALUE( tracked_rank &amp; IF(LEN(budget_rank)=1, "0", "") &amp; budget_rank), "")</f>
        <v/>
      </c>
      <c r="T33" t="str">
        <f t="shared" ca="1" si="7"/>
        <v/>
      </c>
      <c r="U33" t="str">
        <f t="shared" ca="1" si="8"/>
        <v/>
      </c>
      <c r="V33" t="str">
        <f t="shared" ca="1" si="9"/>
        <v/>
      </c>
      <c r="W33" s="7" t="str">
        <f t="shared" ca="1" si="10"/>
        <v/>
      </c>
      <c r="X33" s="57">
        <f t="shared" ca="1" si="11"/>
        <v>-1</v>
      </c>
      <c r="Y33" s="58" t="str">
        <f t="shared" ca="1" si="12"/>
        <v/>
      </c>
      <c r="Z33" s="60" t="str">
        <f t="shared" ca="1" si="13"/>
        <v/>
      </c>
      <c r="AA33" s="60" t="str">
        <f t="shared" ca="1" si="14"/>
        <v/>
      </c>
      <c r="AB33" s="59" t="str">
        <f t="shared" ca="1" si="15"/>
        <v/>
      </c>
      <c r="AC33" s="60" t="str">
        <f t="shared" ca="1" si="16"/>
        <v/>
      </c>
      <c r="AD33" s="60" t="str">
        <f t="shared" ca="1" si="17"/>
        <v/>
      </c>
      <c r="AF33" s="6"/>
      <c r="AI33" s="73" t="str">
        <f ca="1">Calculations!I39</f>
        <v/>
      </c>
      <c r="AJ33" s="74" t="str">
        <f ca="1">Calculations!J39</f>
        <v/>
      </c>
      <c r="AK33" s="7"/>
      <c r="AM33" s="6"/>
      <c r="AP33" s="73" t="str">
        <f ca="1">Calculations!M39</f>
        <v/>
      </c>
      <c r="AQ33" s="74" t="str">
        <f ca="1">Calculations!N39</f>
        <v/>
      </c>
      <c r="AR33" s="7"/>
    </row>
    <row r="34" spans="3:44" x14ac:dyDescent="0.2">
      <c r="C34" s="6" cm="1">
        <f t="array" aca="1" ref="C34" ca="1">IF(C33=-1,-1,
      IF(C33&lt;income_max_row, 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-1</v>
      </c>
      <c r="D34" s="7">
        <f t="shared" ca="1" si="0"/>
        <v>-1</v>
      </c>
      <c r="E34" s="6" cm="1">
        <f t="array" aca="1" ref="E34" ca="1">1*OR(row_id=income_header_row, row_id=expenses_header_row, row_id=savings_header_row)</f>
        <v>0</v>
      </c>
      <c r="F34">
        <f t="shared" ca="1" si="1"/>
        <v>0</v>
      </c>
      <c r="G34" cm="1">
        <f t="array" aca="1" ref="G34" ca="1">1*OR(row_id=income_total_row, row_id=expenses_total_row, row_id=savings_total_row)</f>
        <v>0</v>
      </c>
      <c r="H34" s="7">
        <f t="shared" ca="1" si="2"/>
        <v>1</v>
      </c>
      <c r="I34" s="6" t="str" cm="1">
        <f t="array" aca="1" ref="I34" ca="1">IFERROR(INDEX('Budget Planning'!$C:$C, header_row_id),"")</f>
        <v/>
      </c>
      <c r="J34" t="str" cm="1">
        <f t="array" aca="1" ref="J34" ca="1">IFERROR(INDEX('Budget Planning'!$C:$C, row_id),"")</f>
        <v/>
      </c>
      <c r="K34" s="54" t="str" cm="1">
        <f t="array" aca="1" ref="K3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4" s="55" t="str" cm="1">
        <f t="array" aca="1" ref="L34" ca="1">IF(OR(is_header, is_empty), "",
      INDEX('Budget Planning'!$E:$EM, row_id,
                  MATCH(IF(selected_period="Total Year", selected_year, DATE(selected_year, selected_period, 1)), 'Budget Planning'!$E$9:$EM$9, 0)  ))</f>
        <v/>
      </c>
      <c r="M34" s="6" t="str" cm="1">
        <f t="array" aca="1" ref="M34" ca="1">IF(is_cat,
       IF(header_row_id=income_header_row, MATCH(income_min_row, $C:$C, 0),
           IF(header_row_id=expenses_header_row, MATCH(expenses_min_row, $C:$C, 0),
               IF(header_row_id=savings_header_row, MATCH(savings_min_row, $C:$C, 0),""))), "")</f>
        <v/>
      </c>
      <c r="N34" s="7" t="str" cm="1">
        <f t="array" aca="1" ref="N34" ca="1">IF(is_cat,
       IF(header_row_id=income_header_row, MATCH(income_max_row, $C:$C, 0),
           IF(header_row_id=expenses_header_row, MATCH(expenses_max_row, $C:$C, 0),
               IF(header_row_id=savings_header_row, MATCH(savings_max_row, $C:$C, 0),""))), "")</f>
        <v/>
      </c>
      <c r="O34" s="6" t="str">
        <f t="shared" ca="1" si="3"/>
        <v/>
      </c>
      <c r="P34" t="str">
        <f t="shared" ca="1" si="4"/>
        <v/>
      </c>
      <c r="Q34" t="str">
        <f t="shared" ca="1" si="5"/>
        <v/>
      </c>
      <c r="R34" s="7" t="str">
        <f t="shared" ca="1" si="6"/>
        <v/>
      </c>
      <c r="S34" s="6" t="str">
        <f ca="1">IF(is_cat, _xlfn.NUMBERVALUE( tracked_rank &amp; IF(LEN(budget_rank)=1, "0", "") &amp; budget_rank), "")</f>
        <v/>
      </c>
      <c r="T34" t="str">
        <f t="shared" ca="1" si="7"/>
        <v/>
      </c>
      <c r="U34" t="str">
        <f t="shared" ca="1" si="8"/>
        <v/>
      </c>
      <c r="V34" t="str">
        <f t="shared" ca="1" si="9"/>
        <v/>
      </c>
      <c r="W34" s="7" t="str">
        <f t="shared" ca="1" si="10"/>
        <v/>
      </c>
      <c r="X34" s="57">
        <f t="shared" ca="1" si="11"/>
        <v>-1</v>
      </c>
      <c r="Y34" s="58" t="str">
        <f t="shared" ca="1" si="12"/>
        <v/>
      </c>
      <c r="Z34" s="60" t="str">
        <f t="shared" ca="1" si="13"/>
        <v/>
      </c>
      <c r="AA34" s="60" t="str">
        <f t="shared" ca="1" si="14"/>
        <v/>
      </c>
      <c r="AB34" s="59" t="str">
        <f t="shared" ca="1" si="15"/>
        <v/>
      </c>
      <c r="AC34" s="60" t="str">
        <f t="shared" ca="1" si="16"/>
        <v/>
      </c>
      <c r="AD34" s="60" t="str">
        <f t="shared" ca="1" si="17"/>
        <v/>
      </c>
      <c r="AF34" s="6"/>
      <c r="AI34" s="73" t="str">
        <f ca="1">Calculations!I40</f>
        <v/>
      </c>
      <c r="AJ34" s="74" t="str">
        <f ca="1">Calculations!J40</f>
        <v/>
      </c>
      <c r="AK34" s="7"/>
      <c r="AM34" s="6"/>
      <c r="AP34" s="73" t="str">
        <f ca="1">Calculations!M40</f>
        <v/>
      </c>
      <c r="AQ34" s="74" t="str">
        <f ca="1">Calculations!N40</f>
        <v/>
      </c>
      <c r="AR34" s="7"/>
    </row>
    <row r="35" spans="3:44" x14ac:dyDescent="0.2">
      <c r="C35" s="6" cm="1">
        <f t="array" aca="1" ref="C35" ca="1">IF(C34=-1,-1,
      IF(C34&lt;income_max_row, 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-1</v>
      </c>
      <c r="D35" s="7">
        <f t="shared" ca="1" si="0"/>
        <v>-1</v>
      </c>
      <c r="E35" s="6" cm="1">
        <f t="array" aca="1" ref="E35" ca="1">1*OR(row_id=income_header_row, row_id=expenses_header_row, row_id=savings_header_row)</f>
        <v>0</v>
      </c>
      <c r="F35">
        <f t="shared" ca="1" si="1"/>
        <v>0</v>
      </c>
      <c r="G35" cm="1">
        <f t="array" aca="1" ref="G35" ca="1">1*OR(row_id=income_total_row, row_id=expenses_total_row, row_id=savings_total_row)</f>
        <v>0</v>
      </c>
      <c r="H35" s="7">
        <f t="shared" ca="1" si="2"/>
        <v>1</v>
      </c>
      <c r="I35" s="6" t="str" cm="1">
        <f t="array" aca="1" ref="I35" ca="1">IFERROR(INDEX('Budget Planning'!$C:$C, header_row_id),"")</f>
        <v/>
      </c>
      <c r="J35" t="str" cm="1">
        <f t="array" aca="1" ref="J35" ca="1">IFERROR(INDEX('Budget Planning'!$C:$C, row_id),"")</f>
        <v/>
      </c>
      <c r="K35" s="54" t="str" cm="1">
        <f t="array" aca="1" ref="K3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5" s="55" t="str" cm="1">
        <f t="array" aca="1" ref="L35" ca="1">IF(OR(is_header, is_empty), "",
      INDEX('Budget Planning'!$E:$EM, row_id,
                  MATCH(IF(selected_period="Total Year", selected_year, DATE(selected_year, selected_period, 1)), 'Budget Planning'!$E$9:$EM$9, 0)  ))</f>
        <v/>
      </c>
      <c r="M35" s="6" t="str" cm="1">
        <f t="array" aca="1" ref="M35" ca="1">IF(is_cat,
       IF(header_row_id=income_header_row, MATCH(income_min_row, $C:$C, 0),
           IF(header_row_id=expenses_header_row, MATCH(expenses_min_row, $C:$C, 0),
               IF(header_row_id=savings_header_row, MATCH(savings_min_row, $C:$C, 0),""))), "")</f>
        <v/>
      </c>
      <c r="N35" s="7" t="str" cm="1">
        <f t="array" aca="1" ref="N35" ca="1">IF(is_cat,
       IF(header_row_id=income_header_row, MATCH(income_max_row, $C:$C, 0),
           IF(header_row_id=expenses_header_row, MATCH(expenses_max_row, $C:$C, 0),
               IF(header_row_id=savings_header_row, MATCH(savings_max_row, $C:$C, 0),""))), "")</f>
        <v/>
      </c>
      <c r="O35" s="6" t="str">
        <f t="shared" ca="1" si="3"/>
        <v/>
      </c>
      <c r="P35" t="str">
        <f t="shared" ca="1" si="4"/>
        <v/>
      </c>
      <c r="Q35" t="str">
        <f t="shared" ca="1" si="5"/>
        <v/>
      </c>
      <c r="R35" s="7" t="str">
        <f t="shared" ca="1" si="6"/>
        <v/>
      </c>
      <c r="S35" s="6" t="str">
        <f ca="1">IF(is_cat, _xlfn.NUMBERVALUE( tracked_rank &amp; IF(LEN(budget_rank)=1, "0", "") &amp; budget_rank), "")</f>
        <v/>
      </c>
      <c r="T35" t="str">
        <f t="shared" ca="1" si="7"/>
        <v/>
      </c>
      <c r="U35" t="str">
        <f t="shared" ca="1" si="8"/>
        <v/>
      </c>
      <c r="V35" t="str">
        <f t="shared" ca="1" si="9"/>
        <v/>
      </c>
      <c r="W35" s="7" t="str">
        <f t="shared" ca="1" si="10"/>
        <v/>
      </c>
      <c r="X35" s="57">
        <f t="shared" ca="1" si="11"/>
        <v>-1</v>
      </c>
      <c r="Y35" s="58" t="str">
        <f t="shared" ca="1" si="12"/>
        <v/>
      </c>
      <c r="Z35" s="60" t="str">
        <f t="shared" ca="1" si="13"/>
        <v/>
      </c>
      <c r="AA35" s="60" t="str">
        <f t="shared" ca="1" si="14"/>
        <v/>
      </c>
      <c r="AB35" s="59" t="str">
        <f t="shared" ca="1" si="15"/>
        <v/>
      </c>
      <c r="AC35" s="60" t="str">
        <f t="shared" ca="1" si="16"/>
        <v/>
      </c>
      <c r="AD35" s="60" t="str">
        <f t="shared" ca="1" si="17"/>
        <v/>
      </c>
      <c r="AF35" s="6"/>
      <c r="AI35" s="75" t="str">
        <f>Calculations!I41</f>
        <v>Total</v>
      </c>
      <c r="AJ35" s="76">
        <f ca="1">Calculations!J41</f>
        <v>0</v>
      </c>
      <c r="AK35" s="7"/>
      <c r="AM35" s="6"/>
      <c r="AP35" s="75" t="str">
        <f>Calculations!M41</f>
        <v>Total</v>
      </c>
      <c r="AQ35" s="76">
        <f ca="1">Calculations!N41</f>
        <v>0</v>
      </c>
      <c r="AR35" s="7"/>
    </row>
    <row r="36" spans="3:44" x14ac:dyDescent="0.2">
      <c r="C36" s="6" cm="1">
        <f t="array" aca="1" ref="C36" ca="1">IF(C35=-1,-1,
      IF(C35&lt;income_max_row, 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-1</v>
      </c>
      <c r="D36" s="7">
        <f t="shared" ca="1" si="0"/>
        <v>-1</v>
      </c>
      <c r="E36" s="6" cm="1">
        <f t="array" aca="1" ref="E36" ca="1">1*OR(row_id=income_header_row, row_id=expenses_header_row, row_id=savings_header_row)</f>
        <v>0</v>
      </c>
      <c r="F36">
        <f t="shared" ca="1" si="1"/>
        <v>0</v>
      </c>
      <c r="G36" cm="1">
        <f t="array" aca="1" ref="G36" ca="1">1*OR(row_id=income_total_row, row_id=expenses_total_row, row_id=savings_total_row)</f>
        <v>0</v>
      </c>
      <c r="H36" s="7">
        <f t="shared" ca="1" si="2"/>
        <v>1</v>
      </c>
      <c r="I36" s="6" t="str" cm="1">
        <f t="array" aca="1" ref="I36" ca="1">IFERROR(INDEX('Budget Planning'!$C:$C, header_row_id),"")</f>
        <v/>
      </c>
      <c r="J36" t="str" cm="1">
        <f t="array" aca="1" ref="J36" ca="1">IFERROR(INDEX('Budget Planning'!$C:$C, row_id),"")</f>
        <v/>
      </c>
      <c r="K36" s="54" t="str" cm="1">
        <f t="array" aca="1" ref="K3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6" s="55" t="str" cm="1">
        <f t="array" aca="1" ref="L36" ca="1">IF(OR(is_header, is_empty), "",
      INDEX('Budget Planning'!$E:$EM, row_id,
                  MATCH(IF(selected_period="Total Year", selected_year, DATE(selected_year, selected_period, 1)), 'Budget Planning'!$E$9:$EM$9, 0)  ))</f>
        <v/>
      </c>
      <c r="M36" s="6" t="str" cm="1">
        <f t="array" aca="1" ref="M36" ca="1">IF(is_cat,
       IF(header_row_id=income_header_row, MATCH(income_min_row, $C:$C, 0),
           IF(header_row_id=expenses_header_row, MATCH(expenses_min_row, $C:$C, 0),
               IF(header_row_id=savings_header_row, MATCH(savings_min_row, $C:$C, 0),""))), "")</f>
        <v/>
      </c>
      <c r="N36" s="7" t="str" cm="1">
        <f t="array" aca="1" ref="N36" ca="1">IF(is_cat,
       IF(header_row_id=income_header_row, MATCH(income_max_row, $C:$C, 0),
           IF(header_row_id=expenses_header_row, MATCH(expenses_max_row, $C:$C, 0),
               IF(header_row_id=savings_header_row, MATCH(savings_max_row, $C:$C, 0),""))), "")</f>
        <v/>
      </c>
      <c r="O36" s="6" t="str">
        <f t="shared" ca="1" si="3"/>
        <v/>
      </c>
      <c r="P36" t="str">
        <f t="shared" ca="1" si="4"/>
        <v/>
      </c>
      <c r="Q36" t="str">
        <f t="shared" ca="1" si="5"/>
        <v/>
      </c>
      <c r="R36" s="7" t="str">
        <f t="shared" ca="1" si="6"/>
        <v/>
      </c>
      <c r="S36" s="6" t="str">
        <f ca="1">IF(is_cat, _xlfn.NUMBERVALUE( tracked_rank &amp; IF(LEN(budget_rank)=1, "0", "") &amp; budget_rank), "")</f>
        <v/>
      </c>
      <c r="T36" t="str">
        <f t="shared" ca="1" si="7"/>
        <v/>
      </c>
      <c r="U36" t="str">
        <f t="shared" ca="1" si="8"/>
        <v/>
      </c>
      <c r="V36" t="str">
        <f t="shared" ca="1" si="9"/>
        <v/>
      </c>
      <c r="W36" s="7" t="str">
        <f t="shared" ca="1" si="10"/>
        <v/>
      </c>
      <c r="X36" s="57">
        <f t="shared" ca="1" si="11"/>
        <v>-1</v>
      </c>
      <c r="Y36" s="58" t="str">
        <f t="shared" ca="1" si="12"/>
        <v/>
      </c>
      <c r="Z36" s="60" t="str">
        <f t="shared" ca="1" si="13"/>
        <v/>
      </c>
      <c r="AA36" s="60" t="str">
        <f t="shared" ca="1" si="14"/>
        <v/>
      </c>
      <c r="AB36" s="59" t="str">
        <f t="shared" ca="1" si="15"/>
        <v/>
      </c>
      <c r="AC36" s="60" t="str">
        <f t="shared" ca="1" si="16"/>
        <v/>
      </c>
      <c r="AD36" s="60" t="str">
        <f t="shared" ca="1" si="17"/>
        <v/>
      </c>
      <c r="AF36" s="6"/>
      <c r="AK36" s="7"/>
      <c r="AM36" s="6"/>
      <c r="AR36" s="7"/>
    </row>
    <row r="37" spans="3:44" x14ac:dyDescent="0.2">
      <c r="C37" s="6" cm="1">
        <f t="array" aca="1" ref="C37" ca="1">IF(C36=-1,-1,
      IF(C36&lt;income_max_row, 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-1</v>
      </c>
      <c r="D37" s="7">
        <f t="shared" ca="1" si="0"/>
        <v>-1</v>
      </c>
      <c r="E37" s="6" cm="1">
        <f t="array" aca="1" ref="E37" ca="1">1*OR(row_id=income_header_row, row_id=expenses_header_row, row_id=savings_header_row)</f>
        <v>0</v>
      </c>
      <c r="F37">
        <f t="shared" ca="1" si="1"/>
        <v>0</v>
      </c>
      <c r="G37" cm="1">
        <f t="array" aca="1" ref="G37" ca="1">1*OR(row_id=income_total_row, row_id=expenses_total_row, row_id=savings_total_row)</f>
        <v>0</v>
      </c>
      <c r="H37" s="7">
        <f t="shared" ca="1" si="2"/>
        <v>1</v>
      </c>
      <c r="I37" s="6" t="str" cm="1">
        <f t="array" aca="1" ref="I37" ca="1">IFERROR(INDEX('Budget Planning'!$C:$C, header_row_id),"")</f>
        <v/>
      </c>
      <c r="J37" t="str" cm="1">
        <f t="array" aca="1" ref="J37" ca="1">IFERROR(INDEX('Budget Planning'!$C:$C, row_id),"")</f>
        <v/>
      </c>
      <c r="K37" s="54" t="str" cm="1">
        <f t="array" aca="1" ref="K3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7" s="55" t="str" cm="1">
        <f t="array" aca="1" ref="L37" ca="1">IF(OR(is_header, is_empty), "",
      INDEX('Budget Planning'!$E:$EM, row_id,
                  MATCH(IF(selected_period="Total Year", selected_year, DATE(selected_year, selected_period, 1)), 'Budget Planning'!$E$9:$EM$9, 0)  ))</f>
        <v/>
      </c>
      <c r="M37" s="6" t="str" cm="1">
        <f t="array" aca="1" ref="M37" ca="1">IF(is_cat,
       IF(header_row_id=income_header_row, MATCH(income_min_row, $C:$C, 0),
           IF(header_row_id=expenses_header_row, MATCH(expenses_min_row, $C:$C, 0),
               IF(header_row_id=savings_header_row, MATCH(savings_min_row, $C:$C, 0),""))), "")</f>
        <v/>
      </c>
      <c r="N37" s="7" t="str" cm="1">
        <f t="array" aca="1" ref="N37" ca="1">IF(is_cat,
       IF(header_row_id=income_header_row, MATCH(income_max_row, $C:$C, 0),
           IF(header_row_id=expenses_header_row, MATCH(expenses_max_row, $C:$C, 0),
               IF(header_row_id=savings_header_row, MATCH(savings_max_row, $C:$C, 0),""))), "")</f>
        <v/>
      </c>
      <c r="O37" s="6" t="str">
        <f t="shared" ca="1" si="3"/>
        <v/>
      </c>
      <c r="P37" t="str">
        <f t="shared" ca="1" si="4"/>
        <v/>
      </c>
      <c r="Q37" t="str">
        <f t="shared" ca="1" si="5"/>
        <v/>
      </c>
      <c r="R37" s="7" t="str">
        <f t="shared" ca="1" si="6"/>
        <v/>
      </c>
      <c r="S37" s="6" t="str">
        <f ca="1">IF(is_cat, _xlfn.NUMBERVALUE( tracked_rank &amp; IF(LEN(budget_rank)=1, "0", "") &amp; budget_rank), "")</f>
        <v/>
      </c>
      <c r="T37" t="str">
        <f t="shared" ca="1" si="7"/>
        <v/>
      </c>
      <c r="U37" t="str">
        <f t="shared" ca="1" si="8"/>
        <v/>
      </c>
      <c r="V37" t="str">
        <f t="shared" ca="1" si="9"/>
        <v/>
      </c>
      <c r="W37" s="7" t="str">
        <f t="shared" ca="1" si="10"/>
        <v/>
      </c>
      <c r="X37" s="57">
        <f t="shared" ca="1" si="11"/>
        <v>-1</v>
      </c>
      <c r="Y37" s="58" t="str">
        <f t="shared" ca="1" si="12"/>
        <v/>
      </c>
      <c r="Z37" s="60" t="str">
        <f t="shared" ca="1" si="13"/>
        <v/>
      </c>
      <c r="AA37" s="60" t="str">
        <f t="shared" ca="1" si="14"/>
        <v/>
      </c>
      <c r="AB37" s="59" t="str">
        <f t="shared" ca="1" si="15"/>
        <v/>
      </c>
      <c r="AC37" s="60" t="str">
        <f t="shared" ca="1" si="16"/>
        <v/>
      </c>
      <c r="AD37" s="60" t="str">
        <f t="shared" ca="1" si="17"/>
        <v/>
      </c>
      <c r="AF37" s="8"/>
      <c r="AG37" s="9"/>
      <c r="AH37" s="9"/>
      <c r="AI37" s="9"/>
      <c r="AJ37" s="9"/>
      <c r="AK37" s="10"/>
      <c r="AM37" s="8"/>
      <c r="AN37" s="9"/>
      <c r="AO37" s="9"/>
      <c r="AP37" s="9"/>
      <c r="AQ37" s="9"/>
      <c r="AR37" s="10"/>
    </row>
    <row r="38" spans="3:44" x14ac:dyDescent="0.2">
      <c r="C38" s="6" cm="1">
        <f t="array" aca="1" ref="C38" ca="1">IF(C37=-1,-1,
      IF(C37&lt;income_max_row, 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-1</v>
      </c>
      <c r="D38" s="7">
        <f t="shared" ca="1" si="0"/>
        <v>-1</v>
      </c>
      <c r="E38" s="6" cm="1">
        <f t="array" aca="1" ref="E38" ca="1">1*OR(row_id=income_header_row, row_id=expenses_header_row, row_id=savings_header_row)</f>
        <v>0</v>
      </c>
      <c r="F38">
        <f t="shared" ca="1" si="1"/>
        <v>0</v>
      </c>
      <c r="G38" cm="1">
        <f t="array" aca="1" ref="G38" ca="1">1*OR(row_id=income_total_row, row_id=expenses_total_row, row_id=savings_total_row)</f>
        <v>0</v>
      </c>
      <c r="H38" s="7">
        <f t="shared" ca="1" si="2"/>
        <v>1</v>
      </c>
      <c r="I38" s="6" t="str" cm="1">
        <f t="array" aca="1" ref="I38" ca="1">IFERROR(INDEX('Budget Planning'!$C:$C, header_row_id),"")</f>
        <v/>
      </c>
      <c r="J38" t="str" cm="1">
        <f t="array" aca="1" ref="J38" ca="1">IFERROR(INDEX('Budget Planning'!$C:$C, row_id),"")</f>
        <v/>
      </c>
      <c r="K38" s="54" t="str" cm="1">
        <f t="array" aca="1" ref="K3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8" s="55" t="str" cm="1">
        <f t="array" aca="1" ref="L38" ca="1">IF(OR(is_header, is_empty), "",
      INDEX('Budget Planning'!$E:$EM, row_id,
                  MATCH(IF(selected_period="Total Year", selected_year, DATE(selected_year, selected_period, 1)), 'Budget Planning'!$E$9:$EM$9, 0)  ))</f>
        <v/>
      </c>
      <c r="M38" s="6" t="str" cm="1">
        <f t="array" aca="1" ref="M38" ca="1">IF(is_cat,
       IF(header_row_id=income_header_row, MATCH(income_min_row, $C:$C, 0),
           IF(header_row_id=expenses_header_row, MATCH(expenses_min_row, $C:$C, 0),
               IF(header_row_id=savings_header_row, MATCH(savings_min_row, $C:$C, 0),""))), "")</f>
        <v/>
      </c>
      <c r="N38" s="7" t="str" cm="1">
        <f t="array" aca="1" ref="N38" ca="1">IF(is_cat,
       IF(header_row_id=income_header_row, MATCH(income_max_row, $C:$C, 0),
           IF(header_row_id=expenses_header_row, MATCH(expenses_max_row, $C:$C, 0),
               IF(header_row_id=savings_header_row, MATCH(savings_max_row, $C:$C, 0),""))), "")</f>
        <v/>
      </c>
      <c r="O38" s="6" t="str">
        <f t="shared" ca="1" si="3"/>
        <v/>
      </c>
      <c r="P38" t="str">
        <f t="shared" ca="1" si="4"/>
        <v/>
      </c>
      <c r="Q38" t="str">
        <f t="shared" ca="1" si="5"/>
        <v/>
      </c>
      <c r="R38" s="7" t="str">
        <f t="shared" ca="1" si="6"/>
        <v/>
      </c>
      <c r="S38" s="6" t="str">
        <f ca="1">IF(is_cat, _xlfn.NUMBERVALUE( tracked_rank &amp; IF(LEN(budget_rank)=1, "0", "") &amp; budget_rank), "")</f>
        <v/>
      </c>
      <c r="T38" t="str">
        <f t="shared" ca="1" si="7"/>
        <v/>
      </c>
      <c r="U38" t="str">
        <f t="shared" ca="1" si="8"/>
        <v/>
      </c>
      <c r="V38" t="str">
        <f t="shared" ca="1" si="9"/>
        <v/>
      </c>
      <c r="W38" s="7" t="str">
        <f t="shared" ca="1" si="10"/>
        <v/>
      </c>
      <c r="X38" s="57">
        <f t="shared" ca="1" si="11"/>
        <v>-1</v>
      </c>
      <c r="Y38" s="58" t="str">
        <f t="shared" ca="1" si="12"/>
        <v/>
      </c>
      <c r="Z38" s="60" t="str">
        <f t="shared" ca="1" si="13"/>
        <v/>
      </c>
      <c r="AA38" s="60" t="str">
        <f t="shared" ca="1" si="14"/>
        <v/>
      </c>
      <c r="AB38" s="59" t="str">
        <f t="shared" ca="1" si="15"/>
        <v/>
      </c>
      <c r="AC38" s="60" t="str">
        <f t="shared" ca="1" si="16"/>
        <v/>
      </c>
      <c r="AD38" s="60" t="str">
        <f t="shared" ca="1" si="17"/>
        <v/>
      </c>
    </row>
    <row r="39" spans="3:44" x14ac:dyDescent="0.2">
      <c r="C39" s="6" cm="1">
        <f t="array" aca="1" ref="C39" ca="1">IF(C38=-1,-1,
      IF(C38&lt;income_max_row, 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-1</v>
      </c>
      <c r="D39" s="7">
        <f t="shared" ca="1" si="0"/>
        <v>-1</v>
      </c>
      <c r="E39" s="6" cm="1">
        <f t="array" aca="1" ref="E39" ca="1">1*OR(row_id=income_header_row, row_id=expenses_header_row, row_id=savings_header_row)</f>
        <v>0</v>
      </c>
      <c r="F39">
        <f t="shared" ca="1" si="1"/>
        <v>0</v>
      </c>
      <c r="G39" cm="1">
        <f t="array" aca="1" ref="G39" ca="1">1*OR(row_id=income_total_row, row_id=expenses_total_row, row_id=savings_total_row)</f>
        <v>0</v>
      </c>
      <c r="H39" s="7">
        <f t="shared" ca="1" si="2"/>
        <v>1</v>
      </c>
      <c r="I39" s="6" t="str" cm="1">
        <f t="array" aca="1" ref="I39" ca="1">IFERROR(INDEX('Budget Planning'!$C:$C, header_row_id),"")</f>
        <v/>
      </c>
      <c r="J39" t="str" cm="1">
        <f t="array" aca="1" ref="J39" ca="1">IFERROR(INDEX('Budget Planning'!$C:$C, row_id),"")</f>
        <v/>
      </c>
      <c r="K39" s="54" t="str" cm="1">
        <f t="array" aca="1" ref="K3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9" s="55" t="str" cm="1">
        <f t="array" aca="1" ref="L39" ca="1">IF(OR(is_header, is_empty), "",
      INDEX('Budget Planning'!$E:$EM, row_id,
                  MATCH(IF(selected_period="Total Year", selected_year, DATE(selected_year, selected_period, 1)), 'Budget Planning'!$E$9:$EM$9, 0)  ))</f>
        <v/>
      </c>
      <c r="M39" s="6" t="str" cm="1">
        <f t="array" aca="1" ref="M39" ca="1">IF(is_cat,
       IF(header_row_id=income_header_row, MATCH(income_min_row, $C:$C, 0),
           IF(header_row_id=expenses_header_row, MATCH(expenses_min_row, $C:$C, 0),
               IF(header_row_id=savings_header_row, MATCH(savings_min_row, $C:$C, 0),""))), "")</f>
        <v/>
      </c>
      <c r="N39" s="7" t="str" cm="1">
        <f t="array" aca="1" ref="N39" ca="1">IF(is_cat,
       IF(header_row_id=income_header_row, MATCH(income_max_row, $C:$C, 0),
           IF(header_row_id=expenses_header_row, MATCH(expenses_max_row, $C:$C, 0),
               IF(header_row_id=savings_header_row, MATCH(savings_max_row, $C:$C, 0),""))), "")</f>
        <v/>
      </c>
      <c r="O39" s="6" t="str">
        <f t="shared" ca="1" si="3"/>
        <v/>
      </c>
      <c r="P39" t="str">
        <f t="shared" ca="1" si="4"/>
        <v/>
      </c>
      <c r="Q39" t="str">
        <f t="shared" ca="1" si="5"/>
        <v/>
      </c>
      <c r="R39" s="7" t="str">
        <f t="shared" ca="1" si="6"/>
        <v/>
      </c>
      <c r="S39" s="6" t="str">
        <f ca="1">IF(is_cat, _xlfn.NUMBERVALUE( tracked_rank &amp; IF(LEN(budget_rank)=1, "0", "") &amp; budget_rank), "")</f>
        <v/>
      </c>
      <c r="T39" t="str">
        <f t="shared" ca="1" si="7"/>
        <v/>
      </c>
      <c r="U39" t="str">
        <f t="shared" ca="1" si="8"/>
        <v/>
      </c>
      <c r="V39" t="str">
        <f t="shared" ca="1" si="9"/>
        <v/>
      </c>
      <c r="W39" s="7" t="str">
        <f t="shared" ca="1" si="10"/>
        <v/>
      </c>
      <c r="X39" s="57">
        <f t="shared" ca="1" si="11"/>
        <v>-1</v>
      </c>
      <c r="Y39" s="58" t="str">
        <f t="shared" ca="1" si="12"/>
        <v/>
      </c>
      <c r="Z39" s="60" t="str">
        <f t="shared" ca="1" si="13"/>
        <v/>
      </c>
      <c r="AA39" s="60" t="str">
        <f t="shared" ca="1" si="14"/>
        <v/>
      </c>
      <c r="AB39" s="59" t="str">
        <f t="shared" ca="1" si="15"/>
        <v/>
      </c>
      <c r="AC39" s="60" t="str">
        <f t="shared" ca="1" si="16"/>
        <v/>
      </c>
      <c r="AD39" s="60" t="str">
        <f t="shared" ca="1" si="17"/>
        <v/>
      </c>
    </row>
    <row r="40" spans="3:44" x14ac:dyDescent="0.2">
      <c r="C40" s="6" cm="1">
        <f t="array" aca="1" ref="C40" ca="1">IF(C39=-1,-1,
      IF(C39&lt;income_max_row, 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-1</v>
      </c>
      <c r="D40" s="7">
        <f t="shared" ca="1" si="0"/>
        <v>-1</v>
      </c>
      <c r="E40" s="6" cm="1">
        <f t="array" aca="1" ref="E40" ca="1">1*OR(row_id=income_header_row, row_id=expenses_header_row, row_id=savings_header_row)</f>
        <v>0</v>
      </c>
      <c r="F40">
        <f t="shared" ca="1" si="1"/>
        <v>0</v>
      </c>
      <c r="G40" cm="1">
        <f t="array" aca="1" ref="G40" ca="1">1*OR(row_id=income_total_row, row_id=expenses_total_row, row_id=savings_total_row)</f>
        <v>0</v>
      </c>
      <c r="H40" s="7">
        <f t="shared" ca="1" si="2"/>
        <v>1</v>
      </c>
      <c r="I40" s="6" t="str" cm="1">
        <f t="array" aca="1" ref="I40" ca="1">IFERROR(INDEX('Budget Planning'!$C:$C, header_row_id),"")</f>
        <v/>
      </c>
      <c r="J40" t="str" cm="1">
        <f t="array" aca="1" ref="J40" ca="1">IFERROR(INDEX('Budget Planning'!$C:$C, row_id),"")</f>
        <v/>
      </c>
      <c r="K40" s="54" t="str" cm="1">
        <f t="array" aca="1" ref="K4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0" s="55" t="str" cm="1">
        <f t="array" aca="1" ref="L40" ca="1">IF(OR(is_header, is_empty), "",
      INDEX('Budget Planning'!$E:$EM, row_id,
                  MATCH(IF(selected_period="Total Year", selected_year, DATE(selected_year, selected_period, 1)), 'Budget Planning'!$E$9:$EM$9, 0)  ))</f>
        <v/>
      </c>
      <c r="M40" s="6" t="str" cm="1">
        <f t="array" aca="1" ref="M40" ca="1">IF(is_cat,
       IF(header_row_id=income_header_row, MATCH(income_min_row, $C:$C, 0),
           IF(header_row_id=expenses_header_row, MATCH(expenses_min_row, $C:$C, 0),
               IF(header_row_id=savings_header_row, MATCH(savings_min_row, $C:$C, 0),""))), "")</f>
        <v/>
      </c>
      <c r="N40" s="7" t="str" cm="1">
        <f t="array" aca="1" ref="N40" ca="1">IF(is_cat,
       IF(header_row_id=income_header_row, MATCH(income_max_row, $C:$C, 0),
           IF(header_row_id=expenses_header_row, MATCH(expenses_max_row, $C:$C, 0),
               IF(header_row_id=savings_header_row, MATCH(savings_max_row, $C:$C, 0),""))), "")</f>
        <v/>
      </c>
      <c r="O40" s="6" t="str">
        <f t="shared" ca="1" si="3"/>
        <v/>
      </c>
      <c r="P40" t="str">
        <f t="shared" ca="1" si="4"/>
        <v/>
      </c>
      <c r="Q40" t="str">
        <f t="shared" ca="1" si="5"/>
        <v/>
      </c>
      <c r="R40" s="7" t="str">
        <f t="shared" ca="1" si="6"/>
        <v/>
      </c>
      <c r="S40" s="6" t="str">
        <f ca="1">IF(is_cat, _xlfn.NUMBERVALUE( tracked_rank &amp; IF(LEN(budget_rank)=1, "0", "") &amp; budget_rank), "")</f>
        <v/>
      </c>
      <c r="T40" t="str">
        <f t="shared" ca="1" si="7"/>
        <v/>
      </c>
      <c r="U40" t="str">
        <f t="shared" ca="1" si="8"/>
        <v/>
      </c>
      <c r="V40" t="str">
        <f t="shared" ca="1" si="9"/>
        <v/>
      </c>
      <c r="W40" s="7" t="str">
        <f t="shared" ca="1" si="10"/>
        <v/>
      </c>
      <c r="X40" s="57">
        <f t="shared" ca="1" si="11"/>
        <v>-1</v>
      </c>
      <c r="Y40" s="58" t="str">
        <f t="shared" ca="1" si="12"/>
        <v/>
      </c>
      <c r="Z40" s="60" t="str">
        <f t="shared" ca="1" si="13"/>
        <v/>
      </c>
      <c r="AA40" s="60" t="str">
        <f t="shared" ca="1" si="14"/>
        <v/>
      </c>
      <c r="AB40" s="59" t="str">
        <f t="shared" ca="1" si="15"/>
        <v/>
      </c>
      <c r="AC40" s="60" t="str">
        <f t="shared" ca="1" si="16"/>
        <v/>
      </c>
      <c r="AD40" s="60" t="str">
        <f t="shared" ca="1" si="17"/>
        <v/>
      </c>
    </row>
    <row r="41" spans="3:44" x14ac:dyDescent="0.2">
      <c r="C41" s="6" cm="1">
        <f t="array" aca="1" ref="C41" ca="1">IF(C40=-1,-1,
      IF(C40&lt;income_max_row, 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-1</v>
      </c>
      <c r="D41" s="7">
        <f t="shared" ca="1" si="0"/>
        <v>-1</v>
      </c>
      <c r="E41" s="6" cm="1">
        <f t="array" aca="1" ref="E41" ca="1">1*OR(row_id=income_header_row, row_id=expenses_header_row, row_id=savings_header_row)</f>
        <v>0</v>
      </c>
      <c r="F41">
        <f t="shared" ca="1" si="1"/>
        <v>0</v>
      </c>
      <c r="G41" cm="1">
        <f t="array" aca="1" ref="G41" ca="1">1*OR(row_id=income_total_row, row_id=expenses_total_row, row_id=savings_total_row)</f>
        <v>0</v>
      </c>
      <c r="H41" s="7">
        <f t="shared" ca="1" si="2"/>
        <v>1</v>
      </c>
      <c r="I41" s="6" t="str" cm="1">
        <f t="array" aca="1" ref="I41" ca="1">IFERROR(INDEX('Budget Planning'!$C:$C, header_row_id),"")</f>
        <v/>
      </c>
      <c r="J41" t="str" cm="1">
        <f t="array" aca="1" ref="J41" ca="1">IFERROR(INDEX('Budget Planning'!$C:$C, row_id),"")</f>
        <v/>
      </c>
      <c r="K41" s="54" t="str" cm="1">
        <f t="array" aca="1" ref="K4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1" s="55" t="str" cm="1">
        <f t="array" aca="1" ref="L41" ca="1">IF(OR(is_header, is_empty), "",
      INDEX('Budget Planning'!$E:$EM, row_id,
                  MATCH(IF(selected_period="Total Year", selected_year, DATE(selected_year, selected_period, 1)), 'Budget Planning'!$E$9:$EM$9, 0)  ))</f>
        <v/>
      </c>
      <c r="M41" s="6" t="str" cm="1">
        <f t="array" aca="1" ref="M41" ca="1">IF(is_cat,
       IF(header_row_id=income_header_row, MATCH(income_min_row, $C:$C, 0),
           IF(header_row_id=expenses_header_row, MATCH(expenses_min_row, $C:$C, 0),
               IF(header_row_id=savings_header_row, MATCH(savings_min_row, $C:$C, 0),""))), "")</f>
        <v/>
      </c>
      <c r="N41" s="7" t="str" cm="1">
        <f t="array" aca="1" ref="N41" ca="1">IF(is_cat,
       IF(header_row_id=income_header_row, MATCH(income_max_row, $C:$C, 0),
           IF(header_row_id=expenses_header_row, MATCH(expenses_max_row, $C:$C, 0),
               IF(header_row_id=savings_header_row, MATCH(savings_max_row, $C:$C, 0),""))), "")</f>
        <v/>
      </c>
      <c r="O41" s="6" t="str">
        <f t="shared" ca="1" si="3"/>
        <v/>
      </c>
      <c r="P41" t="str">
        <f t="shared" ca="1" si="4"/>
        <v/>
      </c>
      <c r="Q41" t="str">
        <f t="shared" ca="1" si="5"/>
        <v/>
      </c>
      <c r="R41" s="7" t="str">
        <f t="shared" ca="1" si="6"/>
        <v/>
      </c>
      <c r="S41" s="6" t="str">
        <f ca="1">IF(is_cat, _xlfn.NUMBERVALUE( tracked_rank &amp; IF(LEN(budget_rank)=1, "0", "") &amp; budget_rank), "")</f>
        <v/>
      </c>
      <c r="T41" t="str">
        <f t="shared" ca="1" si="7"/>
        <v/>
      </c>
      <c r="U41" t="str">
        <f t="shared" ca="1" si="8"/>
        <v/>
      </c>
      <c r="V41" t="str">
        <f t="shared" ca="1" si="9"/>
        <v/>
      </c>
      <c r="W41" s="7" t="str">
        <f t="shared" ca="1" si="10"/>
        <v/>
      </c>
      <c r="X41" s="57">
        <f t="shared" ca="1" si="11"/>
        <v>-1</v>
      </c>
      <c r="Y41" s="58" t="str">
        <f t="shared" ca="1" si="12"/>
        <v/>
      </c>
      <c r="Z41" s="60" t="str">
        <f t="shared" ca="1" si="13"/>
        <v/>
      </c>
      <c r="AA41" s="60" t="str">
        <f t="shared" ca="1" si="14"/>
        <v/>
      </c>
      <c r="AB41" s="59" t="str">
        <f t="shared" ca="1" si="15"/>
        <v/>
      </c>
      <c r="AC41" s="60" t="str">
        <f t="shared" ca="1" si="16"/>
        <v/>
      </c>
      <c r="AD41" s="60" t="str">
        <f t="shared" ca="1" si="17"/>
        <v/>
      </c>
    </row>
    <row r="42" spans="3:44" x14ac:dyDescent="0.2">
      <c r="C42" s="6" cm="1">
        <f t="array" aca="1" ref="C42" ca="1">IF(C41=-1,-1,
      IF(C41&lt;income_max_row, 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-1</v>
      </c>
      <c r="D42" s="7">
        <f t="shared" ca="1" si="0"/>
        <v>-1</v>
      </c>
      <c r="E42" s="6" cm="1">
        <f t="array" aca="1" ref="E42" ca="1">1*OR(row_id=income_header_row, row_id=expenses_header_row, row_id=savings_header_row)</f>
        <v>0</v>
      </c>
      <c r="F42">
        <f t="shared" ca="1" si="1"/>
        <v>0</v>
      </c>
      <c r="G42" cm="1">
        <f t="array" aca="1" ref="G42" ca="1">1*OR(row_id=income_total_row, row_id=expenses_total_row, row_id=savings_total_row)</f>
        <v>0</v>
      </c>
      <c r="H42" s="7">
        <f t="shared" ca="1" si="2"/>
        <v>1</v>
      </c>
      <c r="I42" s="6" t="str" cm="1">
        <f t="array" aca="1" ref="I42" ca="1">IFERROR(INDEX('Budget Planning'!$C:$C, header_row_id),"")</f>
        <v/>
      </c>
      <c r="J42" t="str" cm="1">
        <f t="array" aca="1" ref="J42" ca="1">IFERROR(INDEX('Budget Planning'!$C:$C, row_id),"")</f>
        <v/>
      </c>
      <c r="K42" s="54" t="str" cm="1">
        <f t="array" aca="1" ref="K4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2" s="55" t="str" cm="1">
        <f t="array" aca="1" ref="L42" ca="1">IF(OR(is_header, is_empty), "",
      INDEX('Budget Planning'!$E:$EM, row_id,
                  MATCH(IF(selected_period="Total Year", selected_year, DATE(selected_year, selected_period, 1)), 'Budget Planning'!$E$9:$EM$9, 0)  ))</f>
        <v/>
      </c>
      <c r="M42" s="6" t="str" cm="1">
        <f t="array" aca="1" ref="M42" ca="1">IF(is_cat,
       IF(header_row_id=income_header_row, MATCH(income_min_row, $C:$C, 0),
           IF(header_row_id=expenses_header_row, MATCH(expenses_min_row, $C:$C, 0),
               IF(header_row_id=savings_header_row, MATCH(savings_min_row, $C:$C, 0),""))), "")</f>
        <v/>
      </c>
      <c r="N42" s="7" t="str" cm="1">
        <f t="array" aca="1" ref="N42" ca="1">IF(is_cat,
       IF(header_row_id=income_header_row, MATCH(income_max_row, $C:$C, 0),
           IF(header_row_id=expenses_header_row, MATCH(expenses_max_row, $C:$C, 0),
               IF(header_row_id=savings_header_row, MATCH(savings_max_row, $C:$C, 0),""))), "")</f>
        <v/>
      </c>
      <c r="O42" s="6" t="str">
        <f t="shared" ca="1" si="3"/>
        <v/>
      </c>
      <c r="P42" t="str">
        <f t="shared" ca="1" si="4"/>
        <v/>
      </c>
      <c r="Q42" t="str">
        <f t="shared" ca="1" si="5"/>
        <v/>
      </c>
      <c r="R42" s="7" t="str">
        <f t="shared" ca="1" si="6"/>
        <v/>
      </c>
      <c r="S42" s="6" t="str">
        <f ca="1">IF(is_cat, _xlfn.NUMBERVALUE( tracked_rank &amp; IF(LEN(budget_rank)=1, "0", "") &amp; budget_rank), "")</f>
        <v/>
      </c>
      <c r="T42" t="str">
        <f t="shared" ca="1" si="7"/>
        <v/>
      </c>
      <c r="U42" t="str">
        <f t="shared" ca="1" si="8"/>
        <v/>
      </c>
      <c r="V42" t="str">
        <f t="shared" ca="1" si="9"/>
        <v/>
      </c>
      <c r="W42" s="7" t="str">
        <f t="shared" ca="1" si="10"/>
        <v/>
      </c>
      <c r="X42" s="57">
        <f t="shared" ca="1" si="11"/>
        <v>-1</v>
      </c>
      <c r="Y42" s="58" t="str">
        <f t="shared" ca="1" si="12"/>
        <v/>
      </c>
      <c r="Z42" s="60" t="str">
        <f t="shared" ca="1" si="13"/>
        <v/>
      </c>
      <c r="AA42" s="60" t="str">
        <f t="shared" ca="1" si="14"/>
        <v/>
      </c>
      <c r="AB42" s="59" t="str">
        <f t="shared" ca="1" si="15"/>
        <v/>
      </c>
      <c r="AC42" s="60" t="str">
        <f t="shared" ca="1" si="16"/>
        <v/>
      </c>
      <c r="AD42" s="60" t="str">
        <f t="shared" ca="1" si="17"/>
        <v/>
      </c>
    </row>
    <row r="43" spans="3:44" x14ac:dyDescent="0.2">
      <c r="C43" s="6" cm="1">
        <f t="array" aca="1" ref="C43" ca="1">IF(C42=-1,-1,
      IF(C42&lt;income_max_row, 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-1</v>
      </c>
      <c r="D43" s="7">
        <f t="shared" ca="1" si="0"/>
        <v>-1</v>
      </c>
      <c r="E43" s="6" cm="1">
        <f t="array" aca="1" ref="E43" ca="1">1*OR(row_id=income_header_row, row_id=expenses_header_row, row_id=savings_header_row)</f>
        <v>0</v>
      </c>
      <c r="F43">
        <f t="shared" ca="1" si="1"/>
        <v>0</v>
      </c>
      <c r="G43" cm="1">
        <f t="array" aca="1" ref="G43" ca="1">1*OR(row_id=income_total_row, row_id=expenses_total_row, row_id=savings_total_row)</f>
        <v>0</v>
      </c>
      <c r="H43" s="7">
        <f t="shared" ca="1" si="2"/>
        <v>1</v>
      </c>
      <c r="I43" s="6" t="str" cm="1">
        <f t="array" aca="1" ref="I43" ca="1">IFERROR(INDEX('Budget Planning'!$C:$C, header_row_id),"")</f>
        <v/>
      </c>
      <c r="J43" t="str" cm="1">
        <f t="array" aca="1" ref="J43" ca="1">IFERROR(INDEX('Budget Planning'!$C:$C, row_id),"")</f>
        <v/>
      </c>
      <c r="K43" s="54" t="str" cm="1">
        <f t="array" aca="1" ref="K4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3" s="55" t="str" cm="1">
        <f t="array" aca="1" ref="L43" ca="1">IF(OR(is_header, is_empty), "",
      INDEX('Budget Planning'!$E:$EM, row_id,
                  MATCH(IF(selected_period="Total Year", selected_year, DATE(selected_year, selected_period, 1)), 'Budget Planning'!$E$9:$EM$9, 0)  ))</f>
        <v/>
      </c>
      <c r="M43" s="6" t="str" cm="1">
        <f t="array" aca="1" ref="M43" ca="1">IF(is_cat,
       IF(header_row_id=income_header_row, MATCH(income_min_row, $C:$C, 0),
           IF(header_row_id=expenses_header_row, MATCH(expenses_min_row, $C:$C, 0),
               IF(header_row_id=savings_header_row, MATCH(savings_min_row, $C:$C, 0),""))), "")</f>
        <v/>
      </c>
      <c r="N43" s="7" t="str" cm="1">
        <f t="array" aca="1" ref="N43" ca="1">IF(is_cat,
       IF(header_row_id=income_header_row, MATCH(income_max_row, $C:$C, 0),
           IF(header_row_id=expenses_header_row, MATCH(expenses_max_row, $C:$C, 0),
               IF(header_row_id=savings_header_row, MATCH(savings_max_row, $C:$C, 0),""))), "")</f>
        <v/>
      </c>
      <c r="O43" s="6" t="str">
        <f t="shared" ca="1" si="3"/>
        <v/>
      </c>
      <c r="P43" t="str">
        <f t="shared" ca="1" si="4"/>
        <v/>
      </c>
      <c r="Q43" t="str">
        <f t="shared" ca="1" si="5"/>
        <v/>
      </c>
      <c r="R43" s="7" t="str">
        <f t="shared" ca="1" si="6"/>
        <v/>
      </c>
      <c r="S43" s="6" t="str">
        <f ca="1">IF(is_cat, _xlfn.NUMBERVALUE( tracked_rank &amp; IF(LEN(budget_rank)=1, "0", "") &amp; budget_rank), "")</f>
        <v/>
      </c>
      <c r="T43" t="str">
        <f t="shared" ca="1" si="7"/>
        <v/>
      </c>
      <c r="U43" t="str">
        <f t="shared" ca="1" si="8"/>
        <v/>
      </c>
      <c r="V43" t="str">
        <f t="shared" ca="1" si="9"/>
        <v/>
      </c>
      <c r="W43" s="7" t="str">
        <f t="shared" ca="1" si="10"/>
        <v/>
      </c>
      <c r="X43" s="57">
        <f t="shared" ca="1" si="11"/>
        <v>-1</v>
      </c>
      <c r="Y43" s="58" t="str">
        <f t="shared" ca="1" si="12"/>
        <v/>
      </c>
      <c r="Z43" s="60" t="str">
        <f t="shared" ca="1" si="13"/>
        <v/>
      </c>
      <c r="AA43" s="60" t="str">
        <f t="shared" ca="1" si="14"/>
        <v/>
      </c>
      <c r="AB43" s="59" t="str">
        <f t="shared" ca="1" si="15"/>
        <v/>
      </c>
      <c r="AC43" s="60" t="str">
        <f t="shared" ca="1" si="16"/>
        <v/>
      </c>
      <c r="AD43" s="60" t="str">
        <f t="shared" ca="1" si="17"/>
        <v/>
      </c>
    </row>
    <row r="44" spans="3:44" x14ac:dyDescent="0.2">
      <c r="C44" s="6" cm="1">
        <f t="array" aca="1" ref="C44" ca="1">IF(C43=-1,-1,
      IF(C43&lt;income_max_row, 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-1</v>
      </c>
      <c r="D44" s="7">
        <f t="shared" ca="1" si="0"/>
        <v>-1</v>
      </c>
      <c r="E44" s="6" cm="1">
        <f t="array" aca="1" ref="E44" ca="1">1*OR(row_id=income_header_row, row_id=expenses_header_row, row_id=savings_header_row)</f>
        <v>0</v>
      </c>
      <c r="F44">
        <f t="shared" ca="1" si="1"/>
        <v>0</v>
      </c>
      <c r="G44" cm="1">
        <f t="array" aca="1" ref="G44" ca="1">1*OR(row_id=income_total_row, row_id=expenses_total_row, row_id=savings_total_row)</f>
        <v>0</v>
      </c>
      <c r="H44" s="7">
        <f t="shared" ca="1" si="2"/>
        <v>1</v>
      </c>
      <c r="I44" s="6" t="str" cm="1">
        <f t="array" aca="1" ref="I44" ca="1">IFERROR(INDEX('Budget Planning'!$C:$C, header_row_id),"")</f>
        <v/>
      </c>
      <c r="J44" t="str" cm="1">
        <f t="array" aca="1" ref="J44" ca="1">IFERROR(INDEX('Budget Planning'!$C:$C, row_id),"")</f>
        <v/>
      </c>
      <c r="K44" s="54" t="str" cm="1">
        <f t="array" aca="1" ref="K4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4" s="55" t="str" cm="1">
        <f t="array" aca="1" ref="L44" ca="1">IF(OR(is_header, is_empty), "",
      INDEX('Budget Planning'!$E:$EM, row_id,
                  MATCH(IF(selected_period="Total Year", selected_year, DATE(selected_year, selected_period, 1)), 'Budget Planning'!$E$9:$EM$9, 0)  ))</f>
        <v/>
      </c>
      <c r="M44" s="6" t="str" cm="1">
        <f t="array" aca="1" ref="M44" ca="1">IF(is_cat,
       IF(header_row_id=income_header_row, MATCH(income_min_row, $C:$C, 0),
           IF(header_row_id=expenses_header_row, MATCH(expenses_min_row, $C:$C, 0),
               IF(header_row_id=savings_header_row, MATCH(savings_min_row, $C:$C, 0),""))), "")</f>
        <v/>
      </c>
      <c r="N44" s="7" t="str" cm="1">
        <f t="array" aca="1" ref="N44" ca="1">IF(is_cat,
       IF(header_row_id=income_header_row, MATCH(income_max_row, $C:$C, 0),
           IF(header_row_id=expenses_header_row, MATCH(expenses_max_row, $C:$C, 0),
               IF(header_row_id=savings_header_row, MATCH(savings_max_row, $C:$C, 0),""))), "")</f>
        <v/>
      </c>
      <c r="O44" s="6" t="str">
        <f t="shared" ca="1" si="3"/>
        <v/>
      </c>
      <c r="P44" t="str">
        <f t="shared" ca="1" si="4"/>
        <v/>
      </c>
      <c r="Q44" t="str">
        <f t="shared" ca="1" si="5"/>
        <v/>
      </c>
      <c r="R44" s="7" t="str">
        <f t="shared" ca="1" si="6"/>
        <v/>
      </c>
      <c r="S44" s="6" t="str">
        <f ca="1">IF(is_cat, _xlfn.NUMBERVALUE( tracked_rank &amp; IF(LEN(budget_rank)=1, "0", "") &amp; budget_rank), "")</f>
        <v/>
      </c>
      <c r="T44" t="str">
        <f t="shared" ca="1" si="7"/>
        <v/>
      </c>
      <c r="U44" t="str">
        <f t="shared" ca="1" si="8"/>
        <v/>
      </c>
      <c r="V44" t="str">
        <f t="shared" ca="1" si="9"/>
        <v/>
      </c>
      <c r="W44" s="7" t="str">
        <f t="shared" ca="1" si="10"/>
        <v/>
      </c>
      <c r="X44" s="57">
        <f t="shared" ca="1" si="11"/>
        <v>-1</v>
      </c>
      <c r="Y44" s="58" t="str">
        <f t="shared" ca="1" si="12"/>
        <v/>
      </c>
      <c r="Z44" s="60" t="str">
        <f t="shared" ca="1" si="13"/>
        <v/>
      </c>
      <c r="AA44" s="60" t="str">
        <f t="shared" ca="1" si="14"/>
        <v/>
      </c>
      <c r="AB44" s="59" t="str">
        <f t="shared" ca="1" si="15"/>
        <v/>
      </c>
      <c r="AC44" s="60" t="str">
        <f t="shared" ca="1" si="16"/>
        <v/>
      </c>
      <c r="AD44" s="60" t="str">
        <f t="shared" ca="1" si="17"/>
        <v/>
      </c>
    </row>
    <row r="45" spans="3:44" x14ac:dyDescent="0.2">
      <c r="C45" s="6" cm="1">
        <f t="array" aca="1" ref="C45" ca="1">IF(C44=-1,-1,
      IF(C44&lt;income_max_row, 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-1</v>
      </c>
      <c r="D45" s="7">
        <f t="shared" ca="1" si="0"/>
        <v>-1</v>
      </c>
      <c r="E45" s="6" cm="1">
        <f t="array" aca="1" ref="E45" ca="1">1*OR(row_id=income_header_row, row_id=expenses_header_row, row_id=savings_header_row)</f>
        <v>0</v>
      </c>
      <c r="F45">
        <f t="shared" ca="1" si="1"/>
        <v>0</v>
      </c>
      <c r="G45" cm="1">
        <f t="array" aca="1" ref="G45" ca="1">1*OR(row_id=income_total_row, row_id=expenses_total_row, row_id=savings_total_row)</f>
        <v>0</v>
      </c>
      <c r="H45" s="7">
        <f t="shared" ca="1" si="2"/>
        <v>1</v>
      </c>
      <c r="I45" s="6" t="str" cm="1">
        <f t="array" aca="1" ref="I45" ca="1">IFERROR(INDEX('Budget Planning'!$C:$C, header_row_id),"")</f>
        <v/>
      </c>
      <c r="J45" t="str" cm="1">
        <f t="array" aca="1" ref="J45" ca="1">IFERROR(INDEX('Budget Planning'!$C:$C, row_id),"")</f>
        <v/>
      </c>
      <c r="K45" s="54" t="str" cm="1">
        <f t="array" aca="1" ref="K4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5" s="55" t="str" cm="1">
        <f t="array" aca="1" ref="L45" ca="1">IF(OR(is_header, is_empty), "",
      INDEX('Budget Planning'!$E:$EM, row_id,
                  MATCH(IF(selected_period="Total Year", selected_year, DATE(selected_year, selected_period, 1)), 'Budget Planning'!$E$9:$EM$9, 0)  ))</f>
        <v/>
      </c>
      <c r="M45" s="6" t="str" cm="1">
        <f t="array" aca="1" ref="M45" ca="1">IF(is_cat,
       IF(header_row_id=income_header_row, MATCH(income_min_row, $C:$C, 0),
           IF(header_row_id=expenses_header_row, MATCH(expenses_min_row, $C:$C, 0),
               IF(header_row_id=savings_header_row, MATCH(savings_min_row, $C:$C, 0),""))), "")</f>
        <v/>
      </c>
      <c r="N45" s="7" t="str" cm="1">
        <f t="array" aca="1" ref="N45" ca="1">IF(is_cat,
       IF(header_row_id=income_header_row, MATCH(income_max_row, $C:$C, 0),
           IF(header_row_id=expenses_header_row, MATCH(expenses_max_row, $C:$C, 0),
               IF(header_row_id=savings_header_row, MATCH(savings_max_row, $C:$C, 0),""))), "")</f>
        <v/>
      </c>
      <c r="O45" s="6" t="str">
        <f t="shared" ca="1" si="3"/>
        <v/>
      </c>
      <c r="P45" t="str">
        <f t="shared" ca="1" si="4"/>
        <v/>
      </c>
      <c r="Q45" t="str">
        <f t="shared" ca="1" si="5"/>
        <v/>
      </c>
      <c r="R45" s="7" t="str">
        <f t="shared" ca="1" si="6"/>
        <v/>
      </c>
      <c r="S45" s="6" t="str">
        <f ca="1">IF(is_cat, _xlfn.NUMBERVALUE( tracked_rank &amp; IF(LEN(budget_rank)=1, "0", "") &amp; budget_rank), "")</f>
        <v/>
      </c>
      <c r="T45" t="str">
        <f t="shared" ca="1" si="7"/>
        <v/>
      </c>
      <c r="U45" t="str">
        <f t="shared" ca="1" si="8"/>
        <v/>
      </c>
      <c r="V45" t="str">
        <f t="shared" ca="1" si="9"/>
        <v/>
      </c>
      <c r="W45" s="7" t="str">
        <f t="shared" ca="1" si="10"/>
        <v/>
      </c>
      <c r="X45" s="57">
        <f t="shared" ca="1" si="11"/>
        <v>-1</v>
      </c>
      <c r="Y45" s="58" t="str">
        <f t="shared" ca="1" si="12"/>
        <v/>
      </c>
      <c r="Z45" s="60" t="str">
        <f t="shared" ca="1" si="13"/>
        <v/>
      </c>
      <c r="AA45" s="60" t="str">
        <f t="shared" ca="1" si="14"/>
        <v/>
      </c>
      <c r="AB45" s="59" t="str">
        <f t="shared" ca="1" si="15"/>
        <v/>
      </c>
      <c r="AC45" s="60" t="str">
        <f t="shared" ca="1" si="16"/>
        <v/>
      </c>
      <c r="AD45" s="60" t="str">
        <f t="shared" ca="1" si="17"/>
        <v/>
      </c>
    </row>
    <row r="46" spans="3:44" x14ac:dyDescent="0.2">
      <c r="C46" s="6" cm="1">
        <f t="array" aca="1" ref="C46" ca="1">IF(C45=-1,-1,
      IF(C45&lt;income_max_row, 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-1</v>
      </c>
      <c r="D46" s="7">
        <f t="shared" ca="1" si="0"/>
        <v>-1</v>
      </c>
      <c r="E46" s="6" cm="1">
        <f t="array" aca="1" ref="E46" ca="1">1*OR(row_id=income_header_row, row_id=expenses_header_row, row_id=savings_header_row)</f>
        <v>0</v>
      </c>
      <c r="F46">
        <f t="shared" ca="1" si="1"/>
        <v>0</v>
      </c>
      <c r="G46" cm="1">
        <f t="array" aca="1" ref="G46" ca="1">1*OR(row_id=income_total_row, row_id=expenses_total_row, row_id=savings_total_row)</f>
        <v>0</v>
      </c>
      <c r="H46" s="7">
        <f t="shared" ca="1" si="2"/>
        <v>1</v>
      </c>
      <c r="I46" s="6" t="str" cm="1">
        <f t="array" aca="1" ref="I46" ca="1">IFERROR(INDEX('Budget Planning'!$C:$C, header_row_id),"")</f>
        <v/>
      </c>
      <c r="J46" t="str" cm="1">
        <f t="array" aca="1" ref="J46" ca="1">IFERROR(INDEX('Budget Planning'!$C:$C, row_id),"")</f>
        <v/>
      </c>
      <c r="K46" s="54" t="str" cm="1">
        <f t="array" aca="1" ref="K4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6" s="55" t="str" cm="1">
        <f t="array" aca="1" ref="L46" ca="1">IF(OR(is_header, is_empty), "",
      INDEX('Budget Planning'!$E:$EM, row_id,
                  MATCH(IF(selected_period="Total Year", selected_year, DATE(selected_year, selected_period, 1)), 'Budget Planning'!$E$9:$EM$9, 0)  ))</f>
        <v/>
      </c>
      <c r="M46" s="6" t="str" cm="1">
        <f t="array" aca="1" ref="M46" ca="1">IF(is_cat,
       IF(header_row_id=income_header_row, MATCH(income_min_row, $C:$C, 0),
           IF(header_row_id=expenses_header_row, MATCH(expenses_min_row, $C:$C, 0),
               IF(header_row_id=savings_header_row, MATCH(savings_min_row, $C:$C, 0),""))), "")</f>
        <v/>
      </c>
      <c r="N46" s="7" t="str" cm="1">
        <f t="array" aca="1" ref="N46" ca="1">IF(is_cat,
       IF(header_row_id=income_header_row, MATCH(income_max_row, $C:$C, 0),
           IF(header_row_id=expenses_header_row, MATCH(expenses_max_row, $C:$C, 0),
               IF(header_row_id=savings_header_row, MATCH(savings_max_row, $C:$C, 0),""))), "")</f>
        <v/>
      </c>
      <c r="O46" s="6" t="str">
        <f t="shared" ca="1" si="3"/>
        <v/>
      </c>
      <c r="P46" t="str">
        <f t="shared" ca="1" si="4"/>
        <v/>
      </c>
      <c r="Q46" t="str">
        <f t="shared" ca="1" si="5"/>
        <v/>
      </c>
      <c r="R46" s="7" t="str">
        <f t="shared" ca="1" si="6"/>
        <v/>
      </c>
      <c r="S46" s="6" t="str">
        <f ca="1">IF(is_cat, _xlfn.NUMBERVALUE( tracked_rank &amp; IF(LEN(budget_rank)=1, "0", "") &amp; budget_rank), "")</f>
        <v/>
      </c>
      <c r="T46" t="str">
        <f t="shared" ca="1" si="7"/>
        <v/>
      </c>
      <c r="U46" t="str">
        <f t="shared" ca="1" si="8"/>
        <v/>
      </c>
      <c r="V46" t="str">
        <f t="shared" ca="1" si="9"/>
        <v/>
      </c>
      <c r="W46" s="7" t="str">
        <f t="shared" ca="1" si="10"/>
        <v/>
      </c>
      <c r="X46" s="57">
        <f t="shared" ca="1" si="11"/>
        <v>-1</v>
      </c>
      <c r="Y46" s="58" t="str">
        <f t="shared" ca="1" si="12"/>
        <v/>
      </c>
      <c r="Z46" s="60" t="str">
        <f t="shared" ca="1" si="13"/>
        <v/>
      </c>
      <c r="AA46" s="60" t="str">
        <f t="shared" ca="1" si="14"/>
        <v/>
      </c>
      <c r="AB46" s="59" t="str">
        <f t="shared" ca="1" si="15"/>
        <v/>
      </c>
      <c r="AC46" s="60" t="str">
        <f t="shared" ca="1" si="16"/>
        <v/>
      </c>
      <c r="AD46" s="60" t="str">
        <f t="shared" ca="1" si="17"/>
        <v/>
      </c>
    </row>
    <row r="47" spans="3:44" x14ac:dyDescent="0.2">
      <c r="C47" s="6" cm="1">
        <f t="array" aca="1" ref="C47" ca="1">IF(C46=-1,-1,
      IF(C46&lt;income_max_row, 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-1</v>
      </c>
      <c r="D47" s="7">
        <f t="shared" ca="1" si="0"/>
        <v>-1</v>
      </c>
      <c r="E47" s="6" cm="1">
        <f t="array" aca="1" ref="E47" ca="1">1*OR(row_id=income_header_row, row_id=expenses_header_row, row_id=savings_header_row)</f>
        <v>0</v>
      </c>
      <c r="F47">
        <f t="shared" ca="1" si="1"/>
        <v>0</v>
      </c>
      <c r="G47" cm="1">
        <f t="array" aca="1" ref="G47" ca="1">1*OR(row_id=income_total_row, row_id=expenses_total_row, row_id=savings_total_row)</f>
        <v>0</v>
      </c>
      <c r="H47" s="7">
        <f t="shared" ca="1" si="2"/>
        <v>1</v>
      </c>
      <c r="I47" s="6" t="str" cm="1">
        <f t="array" aca="1" ref="I47" ca="1">IFERROR(INDEX('Budget Planning'!$C:$C, header_row_id),"")</f>
        <v/>
      </c>
      <c r="J47" t="str" cm="1">
        <f t="array" aca="1" ref="J47" ca="1">IFERROR(INDEX('Budget Planning'!$C:$C, row_id),"")</f>
        <v/>
      </c>
      <c r="K47" s="54" t="str" cm="1">
        <f t="array" aca="1" ref="K4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7" s="55" t="str" cm="1">
        <f t="array" aca="1" ref="L47" ca="1">IF(OR(is_header, is_empty), "",
      INDEX('Budget Planning'!$E:$EM, row_id,
                  MATCH(IF(selected_period="Total Year", selected_year, DATE(selected_year, selected_period, 1)), 'Budget Planning'!$E$9:$EM$9, 0)  ))</f>
        <v/>
      </c>
      <c r="M47" s="6" t="str" cm="1">
        <f t="array" aca="1" ref="M47" ca="1">IF(is_cat,
       IF(header_row_id=income_header_row, MATCH(income_min_row, $C:$C, 0),
           IF(header_row_id=expenses_header_row, MATCH(expenses_min_row, $C:$C, 0),
               IF(header_row_id=savings_header_row, MATCH(savings_min_row, $C:$C, 0),""))), "")</f>
        <v/>
      </c>
      <c r="N47" s="7" t="str" cm="1">
        <f t="array" aca="1" ref="N47" ca="1">IF(is_cat,
       IF(header_row_id=income_header_row, MATCH(income_max_row, $C:$C, 0),
           IF(header_row_id=expenses_header_row, MATCH(expenses_max_row, $C:$C, 0),
               IF(header_row_id=savings_header_row, MATCH(savings_max_row, $C:$C, 0),""))), "")</f>
        <v/>
      </c>
      <c r="O47" s="6" t="str">
        <f t="shared" ca="1" si="3"/>
        <v/>
      </c>
      <c r="P47" t="str">
        <f t="shared" ca="1" si="4"/>
        <v/>
      </c>
      <c r="Q47" t="str">
        <f t="shared" ca="1" si="5"/>
        <v/>
      </c>
      <c r="R47" s="7" t="str">
        <f t="shared" ca="1" si="6"/>
        <v/>
      </c>
      <c r="S47" s="6" t="str">
        <f ca="1">IF(is_cat, _xlfn.NUMBERVALUE( tracked_rank &amp; IF(LEN(budget_rank)=1, "0", "") &amp; budget_rank), "")</f>
        <v/>
      </c>
      <c r="T47" t="str">
        <f t="shared" ca="1" si="7"/>
        <v/>
      </c>
      <c r="U47" t="str">
        <f t="shared" ca="1" si="8"/>
        <v/>
      </c>
      <c r="V47" t="str">
        <f t="shared" ca="1" si="9"/>
        <v/>
      </c>
      <c r="W47" s="7" t="str">
        <f t="shared" ca="1" si="10"/>
        <v/>
      </c>
      <c r="X47" s="57">
        <f t="shared" ca="1" si="11"/>
        <v>-1</v>
      </c>
      <c r="Y47" s="58" t="str">
        <f t="shared" ca="1" si="12"/>
        <v/>
      </c>
      <c r="Z47" s="60" t="str">
        <f t="shared" ca="1" si="13"/>
        <v/>
      </c>
      <c r="AA47" s="60" t="str">
        <f t="shared" ca="1" si="14"/>
        <v/>
      </c>
      <c r="AB47" s="59" t="str">
        <f t="shared" ca="1" si="15"/>
        <v/>
      </c>
      <c r="AC47" s="60" t="str">
        <f t="shared" ca="1" si="16"/>
        <v/>
      </c>
      <c r="AD47" s="60" t="str">
        <f t="shared" ca="1" si="17"/>
        <v/>
      </c>
    </row>
    <row r="48" spans="3:44" x14ac:dyDescent="0.2">
      <c r="C48" s="6" cm="1">
        <f t="array" aca="1" ref="C48" ca="1">IF(C47=-1,-1,
      IF(C47&lt;income_max_row, 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-1</v>
      </c>
      <c r="D48" s="7">
        <f t="shared" ca="1" si="0"/>
        <v>-1</v>
      </c>
      <c r="E48" s="6" cm="1">
        <f t="array" aca="1" ref="E48" ca="1">1*OR(row_id=income_header_row, row_id=expenses_header_row, row_id=savings_header_row)</f>
        <v>0</v>
      </c>
      <c r="F48">
        <f t="shared" ca="1" si="1"/>
        <v>0</v>
      </c>
      <c r="G48" cm="1">
        <f t="array" aca="1" ref="G48" ca="1">1*OR(row_id=income_total_row, row_id=expenses_total_row, row_id=savings_total_row)</f>
        <v>0</v>
      </c>
      <c r="H48" s="7">
        <f t="shared" ca="1" si="2"/>
        <v>1</v>
      </c>
      <c r="I48" s="6" t="str" cm="1">
        <f t="array" aca="1" ref="I48" ca="1">IFERROR(INDEX('Budget Planning'!$C:$C, header_row_id),"")</f>
        <v/>
      </c>
      <c r="J48" t="str" cm="1">
        <f t="array" aca="1" ref="J48" ca="1">IFERROR(INDEX('Budget Planning'!$C:$C, row_id),"")</f>
        <v/>
      </c>
      <c r="K48" s="54" t="str" cm="1">
        <f t="array" aca="1" ref="K4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8" s="55" t="str" cm="1">
        <f t="array" aca="1" ref="L48" ca="1">IF(OR(is_header, is_empty), "",
      INDEX('Budget Planning'!$E:$EM, row_id,
                  MATCH(IF(selected_period="Total Year", selected_year, DATE(selected_year, selected_period, 1)), 'Budget Planning'!$E$9:$EM$9, 0)  ))</f>
        <v/>
      </c>
      <c r="M48" s="6" t="str" cm="1">
        <f t="array" aca="1" ref="M48" ca="1">IF(is_cat,
       IF(header_row_id=income_header_row, MATCH(income_min_row, $C:$C, 0),
           IF(header_row_id=expenses_header_row, MATCH(expenses_min_row, $C:$C, 0),
               IF(header_row_id=savings_header_row, MATCH(savings_min_row, $C:$C, 0),""))), "")</f>
        <v/>
      </c>
      <c r="N48" s="7" t="str" cm="1">
        <f t="array" aca="1" ref="N48" ca="1">IF(is_cat,
       IF(header_row_id=income_header_row, MATCH(income_max_row, $C:$C, 0),
           IF(header_row_id=expenses_header_row, MATCH(expenses_max_row, $C:$C, 0),
               IF(header_row_id=savings_header_row, MATCH(savings_max_row, $C:$C, 0),""))), "")</f>
        <v/>
      </c>
      <c r="O48" s="6" t="str">
        <f t="shared" ca="1" si="3"/>
        <v/>
      </c>
      <c r="P48" t="str">
        <f t="shared" ca="1" si="4"/>
        <v/>
      </c>
      <c r="Q48" t="str">
        <f t="shared" ca="1" si="5"/>
        <v/>
      </c>
      <c r="R48" s="7" t="str">
        <f t="shared" ca="1" si="6"/>
        <v/>
      </c>
      <c r="S48" s="6" t="str">
        <f ca="1">IF(is_cat, _xlfn.NUMBERVALUE( tracked_rank &amp; IF(LEN(budget_rank)=1, "0", "") &amp; budget_rank), "")</f>
        <v/>
      </c>
      <c r="T48" t="str">
        <f t="shared" ca="1" si="7"/>
        <v/>
      </c>
      <c r="U48" t="str">
        <f t="shared" ca="1" si="8"/>
        <v/>
      </c>
      <c r="V48" t="str">
        <f t="shared" ca="1" si="9"/>
        <v/>
      </c>
      <c r="W48" s="7" t="str">
        <f t="shared" ca="1" si="10"/>
        <v/>
      </c>
      <c r="X48" s="57">
        <f t="shared" ca="1" si="11"/>
        <v>-1</v>
      </c>
      <c r="Y48" s="58" t="str">
        <f t="shared" ca="1" si="12"/>
        <v/>
      </c>
      <c r="Z48" s="60" t="str">
        <f t="shared" ca="1" si="13"/>
        <v/>
      </c>
      <c r="AA48" s="60" t="str">
        <f t="shared" ca="1" si="14"/>
        <v/>
      </c>
      <c r="AB48" s="59" t="str">
        <f t="shared" ca="1" si="15"/>
        <v/>
      </c>
      <c r="AC48" s="60" t="str">
        <f t="shared" ca="1" si="16"/>
        <v/>
      </c>
      <c r="AD48" s="60" t="str">
        <f t="shared" ca="1" si="17"/>
        <v/>
      </c>
    </row>
    <row r="49" spans="3:30" x14ac:dyDescent="0.2">
      <c r="C49" s="6" cm="1">
        <f t="array" aca="1" ref="C49" ca="1">IF(C48=-1,-1,
      IF(C48&lt;income_max_row, 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-1</v>
      </c>
      <c r="D49" s="7">
        <f t="shared" ca="1" si="0"/>
        <v>-1</v>
      </c>
      <c r="E49" s="6" cm="1">
        <f t="array" aca="1" ref="E49" ca="1">1*OR(row_id=income_header_row, row_id=expenses_header_row, row_id=savings_header_row)</f>
        <v>0</v>
      </c>
      <c r="F49">
        <f t="shared" ca="1" si="1"/>
        <v>0</v>
      </c>
      <c r="G49" cm="1">
        <f t="array" aca="1" ref="G49" ca="1">1*OR(row_id=income_total_row, row_id=expenses_total_row, row_id=savings_total_row)</f>
        <v>0</v>
      </c>
      <c r="H49" s="7">
        <f t="shared" ca="1" si="2"/>
        <v>1</v>
      </c>
      <c r="I49" s="6" t="str" cm="1">
        <f t="array" aca="1" ref="I49" ca="1">IFERROR(INDEX('Budget Planning'!$C:$C, header_row_id),"")</f>
        <v/>
      </c>
      <c r="J49" t="str" cm="1">
        <f t="array" aca="1" ref="J49" ca="1">IFERROR(INDEX('Budget Planning'!$C:$C, row_id),"")</f>
        <v/>
      </c>
      <c r="K49" s="54" t="str" cm="1">
        <f t="array" aca="1" ref="K4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9" s="55" t="str" cm="1">
        <f t="array" aca="1" ref="L49" ca="1">IF(OR(is_header, is_empty), "",
      INDEX('Budget Planning'!$E:$EM, row_id,
                  MATCH(IF(selected_period="Total Year", selected_year, DATE(selected_year, selected_period, 1)), 'Budget Planning'!$E$9:$EM$9, 0)  ))</f>
        <v/>
      </c>
      <c r="M49" s="6" t="str" cm="1">
        <f t="array" aca="1" ref="M49" ca="1">IF(is_cat,
       IF(header_row_id=income_header_row, MATCH(income_min_row, $C:$C, 0),
           IF(header_row_id=expenses_header_row, MATCH(expenses_min_row, $C:$C, 0),
               IF(header_row_id=savings_header_row, MATCH(savings_min_row, $C:$C, 0),""))), "")</f>
        <v/>
      </c>
      <c r="N49" s="7" t="str" cm="1">
        <f t="array" aca="1" ref="N49" ca="1">IF(is_cat,
       IF(header_row_id=income_header_row, MATCH(income_max_row, $C:$C, 0),
           IF(header_row_id=expenses_header_row, MATCH(expenses_max_row, $C:$C, 0),
               IF(header_row_id=savings_header_row, MATCH(savings_max_row, $C:$C, 0),""))), "")</f>
        <v/>
      </c>
      <c r="O49" s="6" t="str">
        <f t="shared" ca="1" si="3"/>
        <v/>
      </c>
      <c r="P49" t="str">
        <f t="shared" ca="1" si="4"/>
        <v/>
      </c>
      <c r="Q49" t="str">
        <f t="shared" ca="1" si="5"/>
        <v/>
      </c>
      <c r="R49" s="7" t="str">
        <f t="shared" ca="1" si="6"/>
        <v/>
      </c>
      <c r="S49" s="6" t="str">
        <f ca="1">IF(is_cat, _xlfn.NUMBERVALUE( tracked_rank &amp; IF(LEN(budget_rank)=1, "0", "") &amp; budget_rank), "")</f>
        <v/>
      </c>
      <c r="T49" t="str">
        <f t="shared" ca="1" si="7"/>
        <v/>
      </c>
      <c r="U49" t="str">
        <f t="shared" ca="1" si="8"/>
        <v/>
      </c>
      <c r="V49" t="str">
        <f t="shared" ca="1" si="9"/>
        <v/>
      </c>
      <c r="W49" s="7" t="str">
        <f t="shared" ca="1" si="10"/>
        <v/>
      </c>
      <c r="X49" s="57">
        <f t="shared" ca="1" si="11"/>
        <v>-1</v>
      </c>
      <c r="Y49" s="58" t="str">
        <f t="shared" ca="1" si="12"/>
        <v/>
      </c>
      <c r="Z49" s="60" t="str">
        <f t="shared" ca="1" si="13"/>
        <v/>
      </c>
      <c r="AA49" s="60" t="str">
        <f t="shared" ca="1" si="14"/>
        <v/>
      </c>
      <c r="AB49" s="59" t="str">
        <f t="shared" ca="1" si="15"/>
        <v/>
      </c>
      <c r="AC49" s="60" t="str">
        <f t="shared" ca="1" si="16"/>
        <v/>
      </c>
      <c r="AD49" s="60" t="str">
        <f t="shared" ca="1" si="17"/>
        <v/>
      </c>
    </row>
    <row r="50" spans="3:30" x14ac:dyDescent="0.2">
      <c r="C50" s="6" cm="1">
        <f t="array" aca="1" ref="C50" ca="1">IF(C49=-1,-1,
      IF(C49&lt;income_max_row, 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-1</v>
      </c>
      <c r="D50" s="7">
        <f t="shared" ca="1" si="0"/>
        <v>-1</v>
      </c>
      <c r="E50" s="6" cm="1">
        <f t="array" aca="1" ref="E50" ca="1">1*OR(row_id=income_header_row, row_id=expenses_header_row, row_id=savings_header_row)</f>
        <v>0</v>
      </c>
      <c r="F50">
        <f t="shared" ca="1" si="1"/>
        <v>0</v>
      </c>
      <c r="G50" cm="1">
        <f t="array" aca="1" ref="G50" ca="1">1*OR(row_id=income_total_row, row_id=expenses_total_row, row_id=savings_total_row)</f>
        <v>0</v>
      </c>
      <c r="H50" s="7">
        <f t="shared" ca="1" si="2"/>
        <v>1</v>
      </c>
      <c r="I50" s="6" t="str" cm="1">
        <f t="array" aca="1" ref="I50" ca="1">IFERROR(INDEX('Budget Planning'!$C:$C, header_row_id),"")</f>
        <v/>
      </c>
      <c r="J50" t="str" cm="1">
        <f t="array" aca="1" ref="J50" ca="1">IFERROR(INDEX('Budget Planning'!$C:$C, row_id),"")</f>
        <v/>
      </c>
      <c r="K50" s="54" t="str" cm="1">
        <f t="array" aca="1" ref="K5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0" s="55" t="str" cm="1">
        <f t="array" aca="1" ref="L50" ca="1">IF(OR(is_header, is_empty), "",
      INDEX('Budget Planning'!$E:$EM, row_id,
                  MATCH(IF(selected_period="Total Year", selected_year, DATE(selected_year, selected_period, 1)), 'Budget Planning'!$E$9:$EM$9, 0)  ))</f>
        <v/>
      </c>
      <c r="M50" s="6" t="str" cm="1">
        <f t="array" aca="1" ref="M50" ca="1">IF(is_cat,
       IF(header_row_id=income_header_row, MATCH(income_min_row, $C:$C, 0),
           IF(header_row_id=expenses_header_row, MATCH(expenses_min_row, $C:$C, 0),
               IF(header_row_id=savings_header_row, MATCH(savings_min_row, $C:$C, 0),""))), "")</f>
        <v/>
      </c>
      <c r="N50" s="7" t="str" cm="1">
        <f t="array" aca="1" ref="N50" ca="1">IF(is_cat,
       IF(header_row_id=income_header_row, MATCH(income_max_row, $C:$C, 0),
           IF(header_row_id=expenses_header_row, MATCH(expenses_max_row, $C:$C, 0),
               IF(header_row_id=savings_header_row, MATCH(savings_max_row, $C:$C, 0),""))), "")</f>
        <v/>
      </c>
      <c r="O50" s="6" t="str">
        <f t="shared" ca="1" si="3"/>
        <v/>
      </c>
      <c r="P50" t="str">
        <f t="shared" ca="1" si="4"/>
        <v/>
      </c>
      <c r="Q50" t="str">
        <f t="shared" ca="1" si="5"/>
        <v/>
      </c>
      <c r="R50" s="7" t="str">
        <f t="shared" ca="1" si="6"/>
        <v/>
      </c>
      <c r="S50" s="6" t="str">
        <f ca="1">IF(is_cat, _xlfn.NUMBERVALUE( tracked_rank &amp; IF(LEN(budget_rank)=1, "0", "") &amp; budget_rank), "")</f>
        <v/>
      </c>
      <c r="T50" t="str">
        <f t="shared" ca="1" si="7"/>
        <v/>
      </c>
      <c r="U50" t="str">
        <f t="shared" ca="1" si="8"/>
        <v/>
      </c>
      <c r="V50" t="str">
        <f t="shared" ca="1" si="9"/>
        <v/>
      </c>
      <c r="W50" s="7" t="str">
        <f t="shared" ca="1" si="10"/>
        <v/>
      </c>
      <c r="X50" s="57">
        <f t="shared" ca="1" si="11"/>
        <v>-1</v>
      </c>
      <c r="Y50" s="58" t="str">
        <f t="shared" ca="1" si="12"/>
        <v/>
      </c>
      <c r="Z50" s="60" t="str">
        <f t="shared" ca="1" si="13"/>
        <v/>
      </c>
      <c r="AA50" s="60" t="str">
        <f t="shared" ca="1" si="14"/>
        <v/>
      </c>
      <c r="AB50" s="59" t="str">
        <f t="shared" ca="1" si="15"/>
        <v/>
      </c>
      <c r="AC50" s="60" t="str">
        <f t="shared" ca="1" si="16"/>
        <v/>
      </c>
      <c r="AD50" s="60" t="str">
        <f t="shared" ca="1" si="17"/>
        <v/>
      </c>
    </row>
    <row r="51" spans="3:30" x14ac:dyDescent="0.2">
      <c r="C51" s="6" cm="1">
        <f t="array" aca="1" ref="C51" ca="1">IF(C50=-1,-1,
      IF(C50&lt;income_max_row, C50+1,
          IF(C50=income_max_row, income_total_row,
              IF(C50=income_total_row, "/1",
                  IF(C50="/1", expenses_header_row,
                      IF(C50&lt;expenses_max_row, C50+1,
                          IF(C50=expenses_max_row, expenses_total_row,
                              IF(C50=expenses_total_row, "/2",
                                  IF(C50="/2", savings_header_row,
                                      IF(C50&lt;savings_max_row, C50+1,
                                          IF(C50=savings_max_row, savings_total_row, -1)))))))))))</f>
        <v>-1</v>
      </c>
      <c r="D51" s="7">
        <f t="shared" ca="1" si="0"/>
        <v>-1</v>
      </c>
      <c r="E51" s="6" cm="1">
        <f t="array" aca="1" ref="E51" ca="1">1*OR(row_id=income_header_row, row_id=expenses_header_row, row_id=savings_header_row)</f>
        <v>0</v>
      </c>
      <c r="F51">
        <f t="shared" ca="1" si="1"/>
        <v>0</v>
      </c>
      <c r="G51" cm="1">
        <f t="array" aca="1" ref="G51" ca="1">1*OR(row_id=income_total_row, row_id=expenses_total_row, row_id=savings_total_row)</f>
        <v>0</v>
      </c>
      <c r="H51" s="7">
        <f t="shared" ca="1" si="2"/>
        <v>1</v>
      </c>
      <c r="I51" s="6" t="str" cm="1">
        <f t="array" aca="1" ref="I51" ca="1">IFERROR(INDEX('Budget Planning'!$C:$C, header_row_id),"")</f>
        <v/>
      </c>
      <c r="J51" t="str" cm="1">
        <f t="array" aca="1" ref="J51" ca="1">IFERROR(INDEX('Budget Planning'!$C:$C, row_id),"")</f>
        <v/>
      </c>
      <c r="K51" s="54" t="str" cm="1">
        <f t="array" aca="1" ref="K5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1" s="55" t="str" cm="1">
        <f t="array" aca="1" ref="L51" ca="1">IF(OR(is_header, is_empty), "",
      INDEX('Budget Planning'!$E:$EM, row_id,
                  MATCH(IF(selected_period="Total Year", selected_year, DATE(selected_year, selected_period, 1)), 'Budget Planning'!$E$9:$EM$9, 0)  ))</f>
        <v/>
      </c>
      <c r="M51" s="6" t="str" cm="1">
        <f t="array" aca="1" ref="M51" ca="1">IF(is_cat,
       IF(header_row_id=income_header_row, MATCH(income_min_row, $C:$C, 0),
           IF(header_row_id=expenses_header_row, MATCH(expenses_min_row, $C:$C, 0),
               IF(header_row_id=savings_header_row, MATCH(savings_min_row, $C:$C, 0),""))), "")</f>
        <v/>
      </c>
      <c r="N51" s="7" t="str" cm="1">
        <f t="array" aca="1" ref="N51" ca="1">IF(is_cat,
       IF(header_row_id=income_header_row, MATCH(income_max_row, $C:$C, 0),
           IF(header_row_id=expenses_header_row, MATCH(expenses_max_row, $C:$C, 0),
               IF(header_row_id=savings_header_row, MATCH(savings_max_row, $C:$C, 0),""))), "")</f>
        <v/>
      </c>
      <c r="O51" s="6" t="str">
        <f t="shared" ca="1" si="3"/>
        <v/>
      </c>
      <c r="P51" t="str">
        <f t="shared" ca="1" si="4"/>
        <v/>
      </c>
      <c r="Q51" t="str">
        <f t="shared" ca="1" si="5"/>
        <v/>
      </c>
      <c r="R51" s="7" t="str">
        <f t="shared" ca="1" si="6"/>
        <v/>
      </c>
      <c r="S51" s="6" t="str">
        <f ca="1">IF(is_cat, _xlfn.NUMBERVALUE( tracked_rank &amp; IF(LEN(budget_rank)=1, "0", "") &amp; budget_rank), "")</f>
        <v/>
      </c>
      <c r="T51" t="str">
        <f t="shared" ca="1" si="7"/>
        <v/>
      </c>
      <c r="U51" t="str">
        <f t="shared" ca="1" si="8"/>
        <v/>
      </c>
      <c r="V51" t="str">
        <f t="shared" ca="1" si="9"/>
        <v/>
      </c>
      <c r="W51" s="7" t="str">
        <f t="shared" ca="1" si="10"/>
        <v/>
      </c>
      <c r="X51" s="57">
        <f t="shared" ca="1" si="11"/>
        <v>-1</v>
      </c>
      <c r="Y51" s="58" t="str">
        <f t="shared" ca="1" si="12"/>
        <v/>
      </c>
      <c r="Z51" s="60" t="str">
        <f t="shared" ca="1" si="13"/>
        <v/>
      </c>
      <c r="AA51" s="60" t="str">
        <f t="shared" ca="1" si="14"/>
        <v/>
      </c>
      <c r="AB51" s="59" t="str">
        <f t="shared" ca="1" si="15"/>
        <v/>
      </c>
      <c r="AC51" s="60" t="str">
        <f t="shared" ca="1" si="16"/>
        <v/>
      </c>
      <c r="AD51" s="60" t="str">
        <f t="shared" ca="1" si="17"/>
        <v/>
      </c>
    </row>
    <row r="52" spans="3:30" x14ac:dyDescent="0.2">
      <c r="C52" s="6" cm="1">
        <f t="array" aca="1" ref="C52" ca="1">IF(C51=-1,-1,
      IF(C51&lt;income_max_row, C51+1,
          IF(C51=income_max_row, income_total_row,
              IF(C51=income_total_row, "/1",
                  IF(C51="/1", expenses_header_row,
                      IF(C51&lt;expenses_max_row, C51+1,
                          IF(C51=expenses_max_row, expenses_total_row,
                              IF(C51=expenses_total_row, "/2",
                                  IF(C51="/2", savings_header_row,
                                      IF(C51&lt;savings_max_row, C51+1,
                                          IF(C51=savings_max_row, savings_total_row, -1)))))))))))</f>
        <v>-1</v>
      </c>
      <c r="D52" s="7">
        <f t="shared" ca="1" si="0"/>
        <v>-1</v>
      </c>
      <c r="E52" s="6" cm="1">
        <f t="array" aca="1" ref="E52" ca="1">1*OR(row_id=income_header_row, row_id=expenses_header_row, row_id=savings_header_row)</f>
        <v>0</v>
      </c>
      <c r="F52">
        <f t="shared" ca="1" si="1"/>
        <v>0</v>
      </c>
      <c r="G52" cm="1">
        <f t="array" aca="1" ref="G52" ca="1">1*OR(row_id=income_total_row, row_id=expenses_total_row, row_id=savings_total_row)</f>
        <v>0</v>
      </c>
      <c r="H52" s="7">
        <f t="shared" ca="1" si="2"/>
        <v>1</v>
      </c>
      <c r="I52" s="6" t="str" cm="1">
        <f t="array" aca="1" ref="I52" ca="1">IFERROR(INDEX('Budget Planning'!$C:$C, header_row_id),"")</f>
        <v/>
      </c>
      <c r="J52" t="str" cm="1">
        <f t="array" aca="1" ref="J52" ca="1">IFERROR(INDEX('Budget Planning'!$C:$C, row_id),"")</f>
        <v/>
      </c>
      <c r="K52" s="54" t="str" cm="1">
        <f t="array" aca="1" ref="K5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2" s="55" t="str" cm="1">
        <f t="array" aca="1" ref="L52" ca="1">IF(OR(is_header, is_empty), "",
      INDEX('Budget Planning'!$E:$EM, row_id,
                  MATCH(IF(selected_period="Total Year", selected_year, DATE(selected_year, selected_period, 1)), 'Budget Planning'!$E$9:$EM$9, 0)  ))</f>
        <v/>
      </c>
      <c r="M52" s="6" t="str" cm="1">
        <f t="array" aca="1" ref="M52" ca="1">IF(is_cat,
       IF(header_row_id=income_header_row, MATCH(income_min_row, $C:$C, 0),
           IF(header_row_id=expenses_header_row, MATCH(expenses_min_row, $C:$C, 0),
               IF(header_row_id=savings_header_row, MATCH(savings_min_row, $C:$C, 0),""))), "")</f>
        <v/>
      </c>
      <c r="N52" s="7" t="str" cm="1">
        <f t="array" aca="1" ref="N52" ca="1">IF(is_cat,
       IF(header_row_id=income_header_row, MATCH(income_max_row, $C:$C, 0),
           IF(header_row_id=expenses_header_row, MATCH(expenses_max_row, $C:$C, 0),
               IF(header_row_id=savings_header_row, MATCH(savings_max_row, $C:$C, 0),""))), "")</f>
        <v/>
      </c>
      <c r="O52" s="6" t="str">
        <f t="shared" ca="1" si="3"/>
        <v/>
      </c>
      <c r="P52" t="str">
        <f t="shared" ca="1" si="4"/>
        <v/>
      </c>
      <c r="Q52" t="str">
        <f t="shared" ca="1" si="5"/>
        <v/>
      </c>
      <c r="R52" s="7" t="str">
        <f t="shared" ca="1" si="6"/>
        <v/>
      </c>
      <c r="S52" s="6" t="str">
        <f ca="1">IF(is_cat, _xlfn.NUMBERVALUE( tracked_rank &amp; IF(LEN(budget_rank)=1, "0", "") &amp; budget_rank), "")</f>
        <v/>
      </c>
      <c r="T52" t="str">
        <f t="shared" ca="1" si="7"/>
        <v/>
      </c>
      <c r="U52" t="str">
        <f t="shared" ca="1" si="8"/>
        <v/>
      </c>
      <c r="V52" t="str">
        <f t="shared" ca="1" si="9"/>
        <v/>
      </c>
      <c r="W52" s="7" t="str">
        <f t="shared" ca="1" si="10"/>
        <v/>
      </c>
      <c r="X52" s="57">
        <f t="shared" ca="1" si="11"/>
        <v>-1</v>
      </c>
      <c r="Y52" s="58" t="str">
        <f t="shared" ca="1" si="12"/>
        <v/>
      </c>
      <c r="Z52" s="60" t="str">
        <f t="shared" ca="1" si="13"/>
        <v/>
      </c>
      <c r="AA52" s="60" t="str">
        <f t="shared" ca="1" si="14"/>
        <v/>
      </c>
      <c r="AB52" s="59" t="str">
        <f t="shared" ca="1" si="15"/>
        <v/>
      </c>
      <c r="AC52" s="60" t="str">
        <f t="shared" ca="1" si="16"/>
        <v/>
      </c>
      <c r="AD52" s="60" t="str">
        <f t="shared" ca="1" si="17"/>
        <v/>
      </c>
    </row>
    <row r="53" spans="3:30" x14ac:dyDescent="0.2">
      <c r="C53" s="6" cm="1">
        <f t="array" aca="1" ref="C53" ca="1">IF(C52=-1,-1,
      IF(C52&lt;income_max_row, C52+1,
          IF(C52=income_max_row, income_total_row,
              IF(C52=income_total_row, "/1",
                  IF(C52="/1", expenses_header_row,
                      IF(C52&lt;expenses_max_row, C52+1,
                          IF(C52=expenses_max_row, expenses_total_row,
                              IF(C52=expenses_total_row, "/2",
                                  IF(C52="/2", savings_header_row,
                                      IF(C52&lt;savings_max_row, C52+1,
                                          IF(C52=savings_max_row, savings_total_row, -1)))))))))))</f>
        <v>-1</v>
      </c>
      <c r="D53" s="7">
        <f t="shared" ca="1" si="0"/>
        <v>-1</v>
      </c>
      <c r="E53" s="6" cm="1">
        <f t="array" aca="1" ref="E53" ca="1">1*OR(row_id=income_header_row, row_id=expenses_header_row, row_id=savings_header_row)</f>
        <v>0</v>
      </c>
      <c r="F53">
        <f t="shared" ca="1" si="1"/>
        <v>0</v>
      </c>
      <c r="G53" cm="1">
        <f t="array" aca="1" ref="G53" ca="1">1*OR(row_id=income_total_row, row_id=expenses_total_row, row_id=savings_total_row)</f>
        <v>0</v>
      </c>
      <c r="H53" s="7">
        <f t="shared" ca="1" si="2"/>
        <v>1</v>
      </c>
      <c r="I53" s="6" t="str" cm="1">
        <f t="array" aca="1" ref="I53" ca="1">IFERROR(INDEX('Budget Planning'!$C:$C, header_row_id),"")</f>
        <v/>
      </c>
      <c r="J53" t="str" cm="1">
        <f t="array" aca="1" ref="J53" ca="1">IFERROR(INDEX('Budget Planning'!$C:$C, row_id),"")</f>
        <v/>
      </c>
      <c r="K53" s="54" t="str" cm="1">
        <f t="array" aca="1" ref="K5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3" s="55" t="str" cm="1">
        <f t="array" aca="1" ref="L53" ca="1">IF(OR(is_header, is_empty), "",
      INDEX('Budget Planning'!$E:$EM, row_id,
                  MATCH(IF(selected_period="Total Year", selected_year, DATE(selected_year, selected_period, 1)), 'Budget Planning'!$E$9:$EM$9, 0)  ))</f>
        <v/>
      </c>
      <c r="M53" s="6" t="str" cm="1">
        <f t="array" aca="1" ref="M53" ca="1">IF(is_cat,
       IF(header_row_id=income_header_row, MATCH(income_min_row, $C:$C, 0),
           IF(header_row_id=expenses_header_row, MATCH(expenses_min_row, $C:$C, 0),
               IF(header_row_id=savings_header_row, MATCH(savings_min_row, $C:$C, 0),""))), "")</f>
        <v/>
      </c>
      <c r="N53" s="7" t="str" cm="1">
        <f t="array" aca="1" ref="N53" ca="1">IF(is_cat,
       IF(header_row_id=income_header_row, MATCH(income_max_row, $C:$C, 0),
           IF(header_row_id=expenses_header_row, MATCH(expenses_max_row, $C:$C, 0),
               IF(header_row_id=savings_header_row, MATCH(savings_max_row, $C:$C, 0),""))), "")</f>
        <v/>
      </c>
      <c r="O53" s="6" t="str">
        <f t="shared" ca="1" si="3"/>
        <v/>
      </c>
      <c r="P53" t="str">
        <f t="shared" ca="1" si="4"/>
        <v/>
      </c>
      <c r="Q53" t="str">
        <f t="shared" ca="1" si="5"/>
        <v/>
      </c>
      <c r="R53" s="7" t="str">
        <f t="shared" ca="1" si="6"/>
        <v/>
      </c>
      <c r="S53" s="6" t="str">
        <f ca="1">IF(is_cat, _xlfn.NUMBERVALUE( tracked_rank &amp; IF(LEN(budget_rank)=1, "0", "") &amp; budget_rank), "")</f>
        <v/>
      </c>
      <c r="T53" t="str">
        <f t="shared" ca="1" si="7"/>
        <v/>
      </c>
      <c r="U53" t="str">
        <f t="shared" ca="1" si="8"/>
        <v/>
      </c>
      <c r="V53" t="str">
        <f t="shared" ca="1" si="9"/>
        <v/>
      </c>
      <c r="W53" s="7" t="str">
        <f t="shared" ca="1" si="10"/>
        <v/>
      </c>
      <c r="X53" s="57">
        <f t="shared" ca="1" si="11"/>
        <v>-1</v>
      </c>
      <c r="Y53" s="58" t="str">
        <f t="shared" ca="1" si="12"/>
        <v/>
      </c>
      <c r="Z53" s="60" t="str">
        <f t="shared" ca="1" si="13"/>
        <v/>
      </c>
      <c r="AA53" s="60" t="str">
        <f t="shared" ca="1" si="14"/>
        <v/>
      </c>
      <c r="AB53" s="59" t="str">
        <f t="shared" ca="1" si="15"/>
        <v/>
      </c>
      <c r="AC53" s="60" t="str">
        <f t="shared" ca="1" si="16"/>
        <v/>
      </c>
      <c r="AD53" s="60" t="str">
        <f t="shared" ca="1" si="17"/>
        <v/>
      </c>
    </row>
    <row r="54" spans="3:30" x14ac:dyDescent="0.2">
      <c r="C54" s="6" cm="1">
        <f t="array" aca="1" ref="C54" ca="1">IF(C53=-1,-1,
      IF(C53&lt;income_max_row, C53+1,
          IF(C53=income_max_row, income_total_row,
              IF(C53=income_total_row, "/1",
                  IF(C53="/1", expenses_header_row,
                      IF(C53&lt;expenses_max_row, C53+1,
                          IF(C53=expenses_max_row, expenses_total_row,
                              IF(C53=expenses_total_row, "/2",
                                  IF(C53="/2", savings_header_row,
                                      IF(C53&lt;savings_max_row, C53+1,
                                          IF(C53=savings_max_row, savings_total_row, -1)))))))))))</f>
        <v>-1</v>
      </c>
      <c r="D54" s="7">
        <f t="shared" ca="1" si="0"/>
        <v>-1</v>
      </c>
      <c r="E54" s="6" cm="1">
        <f t="array" aca="1" ref="E54" ca="1">1*OR(row_id=income_header_row, row_id=expenses_header_row, row_id=savings_header_row)</f>
        <v>0</v>
      </c>
      <c r="F54">
        <f t="shared" ca="1" si="1"/>
        <v>0</v>
      </c>
      <c r="G54" cm="1">
        <f t="array" aca="1" ref="G54" ca="1">1*OR(row_id=income_total_row, row_id=expenses_total_row, row_id=savings_total_row)</f>
        <v>0</v>
      </c>
      <c r="H54" s="7">
        <f t="shared" ca="1" si="2"/>
        <v>1</v>
      </c>
      <c r="I54" s="6" t="str" cm="1">
        <f t="array" aca="1" ref="I54" ca="1">IFERROR(INDEX('Budget Planning'!$C:$C, header_row_id),"")</f>
        <v/>
      </c>
      <c r="J54" t="str" cm="1">
        <f t="array" aca="1" ref="J54" ca="1">IFERROR(INDEX('Budget Planning'!$C:$C, row_id),"")</f>
        <v/>
      </c>
      <c r="K54" s="54" t="str" cm="1">
        <f t="array" aca="1" ref="K5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4" s="55" t="str" cm="1">
        <f t="array" aca="1" ref="L54" ca="1">IF(OR(is_header, is_empty), "",
      INDEX('Budget Planning'!$E:$EM, row_id,
                  MATCH(IF(selected_period="Total Year", selected_year, DATE(selected_year, selected_period, 1)), 'Budget Planning'!$E$9:$EM$9, 0)  ))</f>
        <v/>
      </c>
      <c r="M54" s="6" t="str" cm="1">
        <f t="array" aca="1" ref="M54" ca="1">IF(is_cat,
       IF(header_row_id=income_header_row, MATCH(income_min_row, $C:$C, 0),
           IF(header_row_id=expenses_header_row, MATCH(expenses_min_row, $C:$C, 0),
               IF(header_row_id=savings_header_row, MATCH(savings_min_row, $C:$C, 0),""))), "")</f>
        <v/>
      </c>
      <c r="N54" s="7" t="str" cm="1">
        <f t="array" aca="1" ref="N54" ca="1">IF(is_cat,
       IF(header_row_id=income_header_row, MATCH(income_max_row, $C:$C, 0),
           IF(header_row_id=expenses_header_row, MATCH(expenses_max_row, $C:$C, 0),
               IF(header_row_id=savings_header_row, MATCH(savings_max_row, $C:$C, 0),""))), "")</f>
        <v/>
      </c>
      <c r="O54" s="6" t="str">
        <f t="shared" ca="1" si="3"/>
        <v/>
      </c>
      <c r="P54" t="str">
        <f t="shared" ca="1" si="4"/>
        <v/>
      </c>
      <c r="Q54" t="str">
        <f t="shared" ca="1" si="5"/>
        <v/>
      </c>
      <c r="R54" s="7" t="str">
        <f t="shared" ca="1" si="6"/>
        <v/>
      </c>
      <c r="S54" s="6" t="str">
        <f ca="1">IF(is_cat, _xlfn.NUMBERVALUE( tracked_rank &amp; IF(LEN(budget_rank)=1, "0", "") &amp; budget_rank), "")</f>
        <v/>
      </c>
      <c r="T54" t="str">
        <f t="shared" ca="1" si="7"/>
        <v/>
      </c>
      <c r="U54" t="str">
        <f t="shared" ca="1" si="8"/>
        <v/>
      </c>
      <c r="V54" t="str">
        <f t="shared" ca="1" si="9"/>
        <v/>
      </c>
      <c r="W54" s="7" t="str">
        <f t="shared" ca="1" si="10"/>
        <v/>
      </c>
      <c r="X54" s="57">
        <f t="shared" ca="1" si="11"/>
        <v>-1</v>
      </c>
      <c r="Y54" s="58" t="str">
        <f t="shared" ca="1" si="12"/>
        <v/>
      </c>
      <c r="Z54" s="60" t="str">
        <f t="shared" ca="1" si="13"/>
        <v/>
      </c>
      <c r="AA54" s="60" t="str">
        <f t="shared" ca="1" si="14"/>
        <v/>
      </c>
      <c r="AB54" s="59" t="str">
        <f t="shared" ca="1" si="15"/>
        <v/>
      </c>
      <c r="AC54" s="60" t="str">
        <f t="shared" ca="1" si="16"/>
        <v/>
      </c>
      <c r="AD54" s="60" t="str">
        <f t="shared" ca="1" si="17"/>
        <v/>
      </c>
    </row>
    <row r="55" spans="3:30" x14ac:dyDescent="0.2">
      <c r="C55" s="6" cm="1">
        <f t="array" aca="1" ref="C55" ca="1">IF(C54=-1,-1,
      IF(C54&lt;income_max_row, C54+1,
          IF(C54=income_max_row, income_total_row,
              IF(C54=income_total_row, "/1",
                  IF(C54="/1", expenses_header_row,
                      IF(C54&lt;expenses_max_row, C54+1,
                          IF(C54=expenses_max_row, expenses_total_row,
                              IF(C54=expenses_total_row, "/2",
                                  IF(C54="/2", savings_header_row,
                                      IF(C54&lt;savings_max_row, C54+1,
                                          IF(C54=savings_max_row, savings_total_row, -1)))))))))))</f>
        <v>-1</v>
      </c>
      <c r="D55" s="7">
        <f t="shared" ca="1" si="0"/>
        <v>-1</v>
      </c>
      <c r="E55" s="6" cm="1">
        <f t="array" aca="1" ref="E55" ca="1">1*OR(row_id=income_header_row, row_id=expenses_header_row, row_id=savings_header_row)</f>
        <v>0</v>
      </c>
      <c r="F55">
        <f t="shared" ca="1" si="1"/>
        <v>0</v>
      </c>
      <c r="G55" cm="1">
        <f t="array" aca="1" ref="G55" ca="1">1*OR(row_id=income_total_row, row_id=expenses_total_row, row_id=savings_total_row)</f>
        <v>0</v>
      </c>
      <c r="H55" s="7">
        <f t="shared" ca="1" si="2"/>
        <v>1</v>
      </c>
      <c r="I55" s="6" t="str" cm="1">
        <f t="array" aca="1" ref="I55" ca="1">IFERROR(INDEX('Budget Planning'!$C:$C, header_row_id),"")</f>
        <v/>
      </c>
      <c r="J55" t="str" cm="1">
        <f t="array" aca="1" ref="J55" ca="1">IFERROR(INDEX('Budget Planning'!$C:$C, row_id),"")</f>
        <v/>
      </c>
      <c r="K55" s="54" t="str" cm="1">
        <f t="array" aca="1" ref="K5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5" s="55" t="str" cm="1">
        <f t="array" aca="1" ref="L55" ca="1">IF(OR(is_header, is_empty), "",
      INDEX('Budget Planning'!$E:$EM, row_id,
                  MATCH(IF(selected_period="Total Year", selected_year, DATE(selected_year, selected_period, 1)), 'Budget Planning'!$E$9:$EM$9, 0)  ))</f>
        <v/>
      </c>
      <c r="M55" s="6" t="str" cm="1">
        <f t="array" aca="1" ref="M55" ca="1">IF(is_cat,
       IF(header_row_id=income_header_row, MATCH(income_min_row, $C:$C, 0),
           IF(header_row_id=expenses_header_row, MATCH(expenses_min_row, $C:$C, 0),
               IF(header_row_id=savings_header_row, MATCH(savings_min_row, $C:$C, 0),""))), "")</f>
        <v/>
      </c>
      <c r="N55" s="7" t="str" cm="1">
        <f t="array" aca="1" ref="N55" ca="1">IF(is_cat,
       IF(header_row_id=income_header_row, MATCH(income_max_row, $C:$C, 0),
           IF(header_row_id=expenses_header_row, MATCH(expenses_max_row, $C:$C, 0),
               IF(header_row_id=savings_header_row, MATCH(savings_max_row, $C:$C, 0),""))), "")</f>
        <v/>
      </c>
      <c r="O55" s="6" t="str">
        <f t="shared" ca="1" si="3"/>
        <v/>
      </c>
      <c r="P55" t="str">
        <f t="shared" ca="1" si="4"/>
        <v/>
      </c>
      <c r="Q55" t="str">
        <f t="shared" ca="1" si="5"/>
        <v/>
      </c>
      <c r="R55" s="7" t="str">
        <f t="shared" ca="1" si="6"/>
        <v/>
      </c>
      <c r="S55" s="6" t="str">
        <f ca="1">IF(is_cat, _xlfn.NUMBERVALUE( tracked_rank &amp; IF(LEN(budget_rank)=1, "0", "") &amp; budget_rank), "")</f>
        <v/>
      </c>
      <c r="T55" t="str">
        <f t="shared" ca="1" si="7"/>
        <v/>
      </c>
      <c r="U55" t="str">
        <f t="shared" ca="1" si="8"/>
        <v/>
      </c>
      <c r="V55" t="str">
        <f t="shared" ca="1" si="9"/>
        <v/>
      </c>
      <c r="W55" s="7" t="str">
        <f t="shared" ca="1" si="10"/>
        <v/>
      </c>
      <c r="X55" s="57">
        <f t="shared" ca="1" si="11"/>
        <v>-1</v>
      </c>
      <c r="Y55" s="58" t="str">
        <f t="shared" ca="1" si="12"/>
        <v/>
      </c>
      <c r="Z55" s="60" t="str">
        <f t="shared" ca="1" si="13"/>
        <v/>
      </c>
      <c r="AA55" s="60" t="str">
        <f t="shared" ca="1" si="14"/>
        <v/>
      </c>
      <c r="AB55" s="59" t="str">
        <f t="shared" ca="1" si="15"/>
        <v/>
      </c>
      <c r="AC55" s="60" t="str">
        <f t="shared" ca="1" si="16"/>
        <v/>
      </c>
      <c r="AD55" s="60" t="str">
        <f t="shared" ca="1" si="17"/>
        <v/>
      </c>
    </row>
    <row r="56" spans="3:30" x14ac:dyDescent="0.2">
      <c r="C56" s="6" cm="1">
        <f t="array" aca="1" ref="C56" ca="1">IF(C55=-1,-1,
      IF(C55&lt;income_max_row, C55+1,
          IF(C55=income_max_row, income_total_row,
              IF(C55=income_total_row, "/1",
                  IF(C55="/1", expenses_header_row,
                      IF(C55&lt;expenses_max_row, C55+1,
                          IF(C55=expenses_max_row, expenses_total_row,
                              IF(C55=expenses_total_row, "/2",
                                  IF(C55="/2", savings_header_row,
                                      IF(C55&lt;savings_max_row, C55+1,
                                          IF(C55=savings_max_row, savings_total_row, -1)))))))))))</f>
        <v>-1</v>
      </c>
      <c r="D56" s="7">
        <f t="shared" ca="1" si="0"/>
        <v>-1</v>
      </c>
      <c r="E56" s="6" cm="1">
        <f t="array" aca="1" ref="E56" ca="1">1*OR(row_id=income_header_row, row_id=expenses_header_row, row_id=savings_header_row)</f>
        <v>0</v>
      </c>
      <c r="F56">
        <f t="shared" ca="1" si="1"/>
        <v>0</v>
      </c>
      <c r="G56" cm="1">
        <f t="array" aca="1" ref="G56" ca="1">1*OR(row_id=income_total_row, row_id=expenses_total_row, row_id=savings_total_row)</f>
        <v>0</v>
      </c>
      <c r="H56" s="7">
        <f t="shared" ca="1" si="2"/>
        <v>1</v>
      </c>
      <c r="I56" s="6" t="str" cm="1">
        <f t="array" aca="1" ref="I56" ca="1">IFERROR(INDEX('Budget Planning'!$C:$C, header_row_id),"")</f>
        <v/>
      </c>
      <c r="J56" t="str" cm="1">
        <f t="array" aca="1" ref="J56" ca="1">IFERROR(INDEX('Budget Planning'!$C:$C, row_id),"")</f>
        <v/>
      </c>
      <c r="K56" s="54" t="str" cm="1">
        <f t="array" aca="1" ref="K5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6" s="55" t="str" cm="1">
        <f t="array" aca="1" ref="L56" ca="1">IF(OR(is_header, is_empty), "",
      INDEX('Budget Planning'!$E:$EM, row_id,
                  MATCH(IF(selected_period="Total Year", selected_year, DATE(selected_year, selected_period, 1)), 'Budget Planning'!$E$9:$EM$9, 0)  ))</f>
        <v/>
      </c>
      <c r="M56" s="6" t="str" cm="1">
        <f t="array" aca="1" ref="M56" ca="1">IF(is_cat,
       IF(header_row_id=income_header_row, MATCH(income_min_row, $C:$C, 0),
           IF(header_row_id=expenses_header_row, MATCH(expenses_min_row, $C:$C, 0),
               IF(header_row_id=savings_header_row, MATCH(savings_min_row, $C:$C, 0),""))), "")</f>
        <v/>
      </c>
      <c r="N56" s="7" t="str" cm="1">
        <f t="array" aca="1" ref="N56" ca="1">IF(is_cat,
       IF(header_row_id=income_header_row, MATCH(income_max_row, $C:$C, 0),
           IF(header_row_id=expenses_header_row, MATCH(expenses_max_row, $C:$C, 0),
               IF(header_row_id=savings_header_row, MATCH(savings_max_row, $C:$C, 0),""))), "")</f>
        <v/>
      </c>
      <c r="O56" s="6" t="str">
        <f t="shared" ca="1" si="3"/>
        <v/>
      </c>
      <c r="P56" t="str">
        <f t="shared" ca="1" si="4"/>
        <v/>
      </c>
      <c r="Q56" t="str">
        <f t="shared" ca="1" si="5"/>
        <v/>
      </c>
      <c r="R56" s="7" t="str">
        <f t="shared" ca="1" si="6"/>
        <v/>
      </c>
      <c r="S56" s="6" t="str">
        <f ca="1">IF(is_cat, _xlfn.NUMBERVALUE( tracked_rank &amp; IF(LEN(budget_rank)=1, "0", "") &amp; budget_rank), "")</f>
        <v/>
      </c>
      <c r="T56" t="str">
        <f t="shared" ca="1" si="7"/>
        <v/>
      </c>
      <c r="U56" t="str">
        <f t="shared" ca="1" si="8"/>
        <v/>
      </c>
      <c r="V56" t="str">
        <f t="shared" ca="1" si="9"/>
        <v/>
      </c>
      <c r="W56" s="7" t="str">
        <f t="shared" ca="1" si="10"/>
        <v/>
      </c>
      <c r="X56" s="57">
        <f t="shared" ca="1" si="11"/>
        <v>-1</v>
      </c>
      <c r="Y56" s="58" t="str">
        <f t="shared" ca="1" si="12"/>
        <v/>
      </c>
      <c r="Z56" s="60" t="str">
        <f t="shared" ca="1" si="13"/>
        <v/>
      </c>
      <c r="AA56" s="60" t="str">
        <f t="shared" ca="1" si="14"/>
        <v/>
      </c>
      <c r="AB56" s="59" t="str">
        <f t="shared" ca="1" si="15"/>
        <v/>
      </c>
      <c r="AC56" s="60" t="str">
        <f t="shared" ca="1" si="16"/>
        <v/>
      </c>
      <c r="AD56" s="60" t="str">
        <f t="shared" ca="1" si="17"/>
        <v/>
      </c>
    </row>
    <row r="57" spans="3:30" x14ac:dyDescent="0.2">
      <c r="C57" s="6" cm="1">
        <f t="array" aca="1" ref="C57" ca="1">IF(C56=-1,-1,
      IF(C56&lt;income_max_row, C56+1,
          IF(C56=income_max_row, income_total_row,
              IF(C56=income_total_row, "/1",
                  IF(C56="/1", expenses_header_row,
                      IF(C56&lt;expenses_max_row, C56+1,
                          IF(C56=expenses_max_row, expenses_total_row,
                              IF(C56=expenses_total_row, "/2",
                                  IF(C56="/2", savings_header_row,
                                      IF(C56&lt;savings_max_row, C56+1,
                                          IF(C56=savings_max_row, savings_total_row, -1)))))))))))</f>
        <v>-1</v>
      </c>
      <c r="D57" s="7">
        <f t="shared" ca="1" si="0"/>
        <v>-1</v>
      </c>
      <c r="E57" s="6" cm="1">
        <f t="array" aca="1" ref="E57" ca="1">1*OR(row_id=income_header_row, row_id=expenses_header_row, row_id=savings_header_row)</f>
        <v>0</v>
      </c>
      <c r="F57">
        <f t="shared" ca="1" si="1"/>
        <v>0</v>
      </c>
      <c r="G57" cm="1">
        <f t="array" aca="1" ref="G57" ca="1">1*OR(row_id=income_total_row, row_id=expenses_total_row, row_id=savings_total_row)</f>
        <v>0</v>
      </c>
      <c r="H57" s="7">
        <f t="shared" ca="1" si="2"/>
        <v>1</v>
      </c>
      <c r="I57" s="6" t="str" cm="1">
        <f t="array" aca="1" ref="I57" ca="1">IFERROR(INDEX('Budget Planning'!$C:$C, header_row_id),"")</f>
        <v/>
      </c>
      <c r="J57" t="str" cm="1">
        <f t="array" aca="1" ref="J57" ca="1">IFERROR(INDEX('Budget Planning'!$C:$C, row_id),"")</f>
        <v/>
      </c>
      <c r="K57" s="54" t="str" cm="1">
        <f t="array" aca="1" ref="K5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7" s="55" t="str" cm="1">
        <f t="array" aca="1" ref="L57" ca="1">IF(OR(is_header, is_empty), "",
      INDEX('Budget Planning'!$E:$EM, row_id,
                  MATCH(IF(selected_period="Total Year", selected_year, DATE(selected_year, selected_period, 1)), 'Budget Planning'!$E$9:$EM$9, 0)  ))</f>
        <v/>
      </c>
      <c r="M57" s="6" t="str" cm="1">
        <f t="array" aca="1" ref="M57" ca="1">IF(is_cat,
       IF(header_row_id=income_header_row, MATCH(income_min_row, $C:$C, 0),
           IF(header_row_id=expenses_header_row, MATCH(expenses_min_row, $C:$C, 0),
               IF(header_row_id=savings_header_row, MATCH(savings_min_row, $C:$C, 0),""))), "")</f>
        <v/>
      </c>
      <c r="N57" s="7" t="str" cm="1">
        <f t="array" aca="1" ref="N57" ca="1">IF(is_cat,
       IF(header_row_id=income_header_row, MATCH(income_max_row, $C:$C, 0),
           IF(header_row_id=expenses_header_row, MATCH(expenses_max_row, $C:$C, 0),
               IF(header_row_id=savings_header_row, MATCH(savings_max_row, $C:$C, 0),""))), "")</f>
        <v/>
      </c>
      <c r="O57" s="6" t="str">
        <f t="shared" ca="1" si="3"/>
        <v/>
      </c>
      <c r="P57" t="str">
        <f t="shared" ca="1" si="4"/>
        <v/>
      </c>
      <c r="Q57" t="str">
        <f t="shared" ca="1" si="5"/>
        <v/>
      </c>
      <c r="R57" s="7" t="str">
        <f t="shared" ca="1" si="6"/>
        <v/>
      </c>
      <c r="S57" s="6" t="str">
        <f ca="1">IF(is_cat, _xlfn.NUMBERVALUE( tracked_rank &amp; IF(LEN(budget_rank)=1, "0", "") &amp; budget_rank), "")</f>
        <v/>
      </c>
      <c r="T57" t="str">
        <f t="shared" ca="1" si="7"/>
        <v/>
      </c>
      <c r="U57" t="str">
        <f t="shared" ca="1" si="8"/>
        <v/>
      </c>
      <c r="V57" t="str">
        <f t="shared" ca="1" si="9"/>
        <v/>
      </c>
      <c r="W57" s="7" t="str">
        <f t="shared" ca="1" si="10"/>
        <v/>
      </c>
      <c r="X57" s="57">
        <f t="shared" ca="1" si="11"/>
        <v>-1</v>
      </c>
      <c r="Y57" s="58" t="str">
        <f t="shared" ca="1" si="12"/>
        <v/>
      </c>
      <c r="Z57" s="60" t="str">
        <f t="shared" ca="1" si="13"/>
        <v/>
      </c>
      <c r="AA57" s="60" t="str">
        <f t="shared" ca="1" si="14"/>
        <v/>
      </c>
      <c r="AB57" s="59" t="str">
        <f t="shared" ca="1" si="15"/>
        <v/>
      </c>
      <c r="AC57" s="60" t="str">
        <f t="shared" ca="1" si="16"/>
        <v/>
      </c>
      <c r="AD57" s="60" t="str">
        <f t="shared" ca="1" si="17"/>
        <v/>
      </c>
    </row>
    <row r="58" spans="3:30" x14ac:dyDescent="0.2">
      <c r="C58" s="6" cm="1">
        <f t="array" aca="1" ref="C58" ca="1">IF(C57=-1,-1,
      IF(C57&lt;income_max_row, C57+1,
          IF(C57=income_max_row, income_total_row,
              IF(C57=income_total_row, "/1",
                  IF(C57="/1", expenses_header_row,
                      IF(C57&lt;expenses_max_row, C57+1,
                          IF(C57=expenses_max_row, expenses_total_row,
                              IF(C57=expenses_total_row, "/2",
                                  IF(C57="/2", savings_header_row,
                                      IF(C57&lt;savings_max_row, C57+1,
                                          IF(C57=savings_max_row, savings_total_row, -1)))))))))))</f>
        <v>-1</v>
      </c>
      <c r="D58" s="7">
        <f t="shared" ca="1" si="0"/>
        <v>-1</v>
      </c>
      <c r="E58" s="6" cm="1">
        <f t="array" aca="1" ref="E58" ca="1">1*OR(row_id=income_header_row, row_id=expenses_header_row, row_id=savings_header_row)</f>
        <v>0</v>
      </c>
      <c r="F58">
        <f t="shared" ca="1" si="1"/>
        <v>0</v>
      </c>
      <c r="G58" cm="1">
        <f t="array" aca="1" ref="G58" ca="1">1*OR(row_id=income_total_row, row_id=expenses_total_row, row_id=savings_total_row)</f>
        <v>0</v>
      </c>
      <c r="H58" s="7">
        <f t="shared" ca="1" si="2"/>
        <v>1</v>
      </c>
      <c r="I58" s="6" t="str" cm="1">
        <f t="array" aca="1" ref="I58" ca="1">IFERROR(INDEX('Budget Planning'!$C:$C, header_row_id),"")</f>
        <v/>
      </c>
      <c r="J58" t="str" cm="1">
        <f t="array" aca="1" ref="J58" ca="1">IFERROR(INDEX('Budget Planning'!$C:$C, row_id),"")</f>
        <v/>
      </c>
      <c r="K58" s="54" t="str" cm="1">
        <f t="array" aca="1" ref="K5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8" s="55" t="str" cm="1">
        <f t="array" aca="1" ref="L58" ca="1">IF(OR(is_header, is_empty), "",
      INDEX('Budget Planning'!$E:$EM, row_id,
                  MATCH(IF(selected_period="Total Year", selected_year, DATE(selected_year, selected_period, 1)), 'Budget Planning'!$E$9:$EM$9, 0)  ))</f>
        <v/>
      </c>
      <c r="M58" s="6" t="str" cm="1">
        <f t="array" aca="1" ref="M58" ca="1">IF(is_cat,
       IF(header_row_id=income_header_row, MATCH(income_min_row, $C:$C, 0),
           IF(header_row_id=expenses_header_row, MATCH(expenses_min_row, $C:$C, 0),
               IF(header_row_id=savings_header_row, MATCH(savings_min_row, $C:$C, 0),""))), "")</f>
        <v/>
      </c>
      <c r="N58" s="7" t="str" cm="1">
        <f t="array" aca="1" ref="N58" ca="1">IF(is_cat,
       IF(header_row_id=income_header_row, MATCH(income_max_row, $C:$C, 0),
           IF(header_row_id=expenses_header_row, MATCH(expenses_max_row, $C:$C, 0),
               IF(header_row_id=savings_header_row, MATCH(savings_max_row, $C:$C, 0),""))), "")</f>
        <v/>
      </c>
      <c r="O58" s="6" t="str">
        <f t="shared" ca="1" si="3"/>
        <v/>
      </c>
      <c r="P58" t="str">
        <f t="shared" ca="1" si="4"/>
        <v/>
      </c>
      <c r="Q58" t="str">
        <f t="shared" ca="1" si="5"/>
        <v/>
      </c>
      <c r="R58" s="7" t="str">
        <f t="shared" ca="1" si="6"/>
        <v/>
      </c>
      <c r="S58" s="6" t="str">
        <f ca="1">IF(is_cat, _xlfn.NUMBERVALUE( tracked_rank &amp; IF(LEN(budget_rank)=1, "0", "") &amp; budget_rank), "")</f>
        <v/>
      </c>
      <c r="T58" t="str">
        <f t="shared" ca="1" si="7"/>
        <v/>
      </c>
      <c r="U58" t="str">
        <f t="shared" ca="1" si="8"/>
        <v/>
      </c>
      <c r="V58" t="str">
        <f t="shared" ca="1" si="9"/>
        <v/>
      </c>
      <c r="W58" s="7" t="str">
        <f t="shared" ca="1" si="10"/>
        <v/>
      </c>
      <c r="X58" s="57">
        <f t="shared" ca="1" si="11"/>
        <v>-1</v>
      </c>
      <c r="Y58" s="58" t="str">
        <f t="shared" ca="1" si="12"/>
        <v/>
      </c>
      <c r="Z58" s="60" t="str">
        <f t="shared" ca="1" si="13"/>
        <v/>
      </c>
      <c r="AA58" s="60" t="str">
        <f t="shared" ca="1" si="14"/>
        <v/>
      </c>
      <c r="AB58" s="59" t="str">
        <f t="shared" ca="1" si="15"/>
        <v/>
      </c>
      <c r="AC58" s="60" t="str">
        <f t="shared" ca="1" si="16"/>
        <v/>
      </c>
      <c r="AD58" s="60" t="str">
        <f t="shared" ca="1" si="17"/>
        <v/>
      </c>
    </row>
    <row r="59" spans="3:30" x14ac:dyDescent="0.2">
      <c r="C59" s="6" cm="1">
        <f t="array" aca="1" ref="C59" ca="1">IF(C58=-1,-1,
      IF(C58&lt;income_max_row, C58+1,
          IF(C58=income_max_row, income_total_row,
              IF(C58=income_total_row, "/1",
                  IF(C58="/1", expenses_header_row,
                      IF(C58&lt;expenses_max_row, C58+1,
                          IF(C58=expenses_max_row, expenses_total_row,
                              IF(C58=expenses_total_row, "/2",
                                  IF(C58="/2", savings_header_row,
                                      IF(C58&lt;savings_max_row, C58+1,
                                          IF(C58=savings_max_row, savings_total_row, -1)))))))))))</f>
        <v>-1</v>
      </c>
      <c r="D59" s="7">
        <f t="shared" ca="1" si="0"/>
        <v>-1</v>
      </c>
      <c r="E59" s="6" cm="1">
        <f t="array" aca="1" ref="E59" ca="1">1*OR(row_id=income_header_row, row_id=expenses_header_row, row_id=savings_header_row)</f>
        <v>0</v>
      </c>
      <c r="F59">
        <f t="shared" ca="1" si="1"/>
        <v>0</v>
      </c>
      <c r="G59" cm="1">
        <f t="array" aca="1" ref="G59" ca="1">1*OR(row_id=income_total_row, row_id=expenses_total_row, row_id=savings_total_row)</f>
        <v>0</v>
      </c>
      <c r="H59" s="7">
        <f t="shared" ca="1" si="2"/>
        <v>1</v>
      </c>
      <c r="I59" s="6" t="str" cm="1">
        <f t="array" aca="1" ref="I59" ca="1">IFERROR(INDEX('Budget Planning'!$C:$C, header_row_id),"")</f>
        <v/>
      </c>
      <c r="J59" t="str" cm="1">
        <f t="array" aca="1" ref="J59" ca="1">IFERROR(INDEX('Budget Planning'!$C:$C, row_id),"")</f>
        <v/>
      </c>
      <c r="K59" s="54" t="str" cm="1">
        <f t="array" aca="1" ref="K5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9" s="55" t="str" cm="1">
        <f t="array" aca="1" ref="L59" ca="1">IF(OR(is_header, is_empty), "",
      INDEX('Budget Planning'!$E:$EM, row_id,
                  MATCH(IF(selected_period="Total Year", selected_year, DATE(selected_year, selected_period, 1)), 'Budget Planning'!$E$9:$EM$9, 0)  ))</f>
        <v/>
      </c>
      <c r="M59" s="6" t="str" cm="1">
        <f t="array" aca="1" ref="M59" ca="1">IF(is_cat,
       IF(header_row_id=income_header_row, MATCH(income_min_row, $C:$C, 0),
           IF(header_row_id=expenses_header_row, MATCH(expenses_min_row, $C:$C, 0),
               IF(header_row_id=savings_header_row, MATCH(savings_min_row, $C:$C, 0),""))), "")</f>
        <v/>
      </c>
      <c r="N59" s="7" t="str" cm="1">
        <f t="array" aca="1" ref="N59" ca="1">IF(is_cat,
       IF(header_row_id=income_header_row, MATCH(income_max_row, $C:$C, 0),
           IF(header_row_id=expenses_header_row, MATCH(expenses_max_row, $C:$C, 0),
               IF(header_row_id=savings_header_row, MATCH(savings_max_row, $C:$C, 0),""))), "")</f>
        <v/>
      </c>
      <c r="O59" s="6" t="str">
        <f t="shared" ca="1" si="3"/>
        <v/>
      </c>
      <c r="P59" t="str">
        <f t="shared" ca="1" si="4"/>
        <v/>
      </c>
      <c r="Q59" t="str">
        <f t="shared" ca="1" si="5"/>
        <v/>
      </c>
      <c r="R59" s="7" t="str">
        <f t="shared" ca="1" si="6"/>
        <v/>
      </c>
      <c r="S59" s="6" t="str">
        <f ca="1">IF(is_cat, _xlfn.NUMBERVALUE( tracked_rank &amp; IF(LEN(budget_rank)=1, "0", "") &amp; budget_rank), "")</f>
        <v/>
      </c>
      <c r="T59" t="str">
        <f t="shared" ca="1" si="7"/>
        <v/>
      </c>
      <c r="U59" t="str">
        <f t="shared" ca="1" si="8"/>
        <v/>
      </c>
      <c r="V59" t="str">
        <f t="shared" ca="1" si="9"/>
        <v/>
      </c>
      <c r="W59" s="7" t="str">
        <f t="shared" ca="1" si="10"/>
        <v/>
      </c>
      <c r="X59" s="57">
        <f t="shared" ca="1" si="11"/>
        <v>-1</v>
      </c>
      <c r="Y59" s="58" t="str">
        <f t="shared" ca="1" si="12"/>
        <v/>
      </c>
      <c r="Z59" s="60" t="str">
        <f t="shared" ca="1" si="13"/>
        <v/>
      </c>
      <c r="AA59" s="60" t="str">
        <f t="shared" ca="1" si="14"/>
        <v/>
      </c>
      <c r="AB59" s="59" t="str">
        <f t="shared" ca="1" si="15"/>
        <v/>
      </c>
      <c r="AC59" s="60" t="str">
        <f t="shared" ca="1" si="16"/>
        <v/>
      </c>
      <c r="AD59" s="60" t="str">
        <f t="shared" ca="1" si="17"/>
        <v/>
      </c>
    </row>
    <row r="60" spans="3:30" x14ac:dyDescent="0.2">
      <c r="C60" s="6" cm="1">
        <f t="array" aca="1" ref="C60" ca="1">IF(C59=-1,-1,
      IF(C59&lt;income_max_row, C59+1,
          IF(C59=income_max_row, income_total_row,
              IF(C59=income_total_row, "/1",
                  IF(C59="/1", expenses_header_row,
                      IF(C59&lt;expenses_max_row, C59+1,
                          IF(C59=expenses_max_row, expenses_total_row,
                              IF(C59=expenses_total_row, "/2",
                                  IF(C59="/2", savings_header_row,
                                      IF(C59&lt;savings_max_row, C59+1,
                                          IF(C59=savings_max_row, savings_total_row, -1)))))))))))</f>
        <v>-1</v>
      </c>
      <c r="D60" s="7">
        <f t="shared" ca="1" si="0"/>
        <v>-1</v>
      </c>
      <c r="E60" s="6" cm="1">
        <f t="array" aca="1" ref="E60" ca="1">1*OR(row_id=income_header_row, row_id=expenses_header_row, row_id=savings_header_row)</f>
        <v>0</v>
      </c>
      <c r="F60">
        <f t="shared" ca="1" si="1"/>
        <v>0</v>
      </c>
      <c r="G60" cm="1">
        <f t="array" aca="1" ref="G60" ca="1">1*OR(row_id=income_total_row, row_id=expenses_total_row, row_id=savings_total_row)</f>
        <v>0</v>
      </c>
      <c r="H60" s="7">
        <f t="shared" ca="1" si="2"/>
        <v>1</v>
      </c>
      <c r="I60" s="6" t="str" cm="1">
        <f t="array" aca="1" ref="I60" ca="1">IFERROR(INDEX('Budget Planning'!$C:$C, header_row_id),"")</f>
        <v/>
      </c>
      <c r="J60" t="str" cm="1">
        <f t="array" aca="1" ref="J60" ca="1">IFERROR(INDEX('Budget Planning'!$C:$C, row_id),"")</f>
        <v/>
      </c>
      <c r="K60" s="54" t="str" cm="1">
        <f t="array" aca="1" ref="K6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0" s="55" t="str" cm="1">
        <f t="array" aca="1" ref="L60" ca="1">IF(OR(is_header, is_empty), "",
      INDEX('Budget Planning'!$E:$EM, row_id,
                  MATCH(IF(selected_period="Total Year", selected_year, DATE(selected_year, selected_period, 1)), 'Budget Planning'!$E$9:$EM$9, 0)  ))</f>
        <v/>
      </c>
      <c r="M60" s="6" t="str" cm="1">
        <f t="array" aca="1" ref="M60" ca="1">IF(is_cat,
       IF(header_row_id=income_header_row, MATCH(income_min_row, $C:$C, 0),
           IF(header_row_id=expenses_header_row, MATCH(expenses_min_row, $C:$C, 0),
               IF(header_row_id=savings_header_row, MATCH(savings_min_row, $C:$C, 0),""))), "")</f>
        <v/>
      </c>
      <c r="N60" s="7" t="str" cm="1">
        <f t="array" aca="1" ref="N60" ca="1">IF(is_cat,
       IF(header_row_id=income_header_row, MATCH(income_max_row, $C:$C, 0),
           IF(header_row_id=expenses_header_row, MATCH(expenses_max_row, $C:$C, 0),
               IF(header_row_id=savings_header_row, MATCH(savings_max_row, $C:$C, 0),""))), "")</f>
        <v/>
      </c>
      <c r="O60" s="6" t="str">
        <f t="shared" ca="1" si="3"/>
        <v/>
      </c>
      <c r="P60" t="str">
        <f t="shared" ca="1" si="4"/>
        <v/>
      </c>
      <c r="Q60" t="str">
        <f t="shared" ca="1" si="5"/>
        <v/>
      </c>
      <c r="R60" s="7" t="str">
        <f t="shared" ca="1" si="6"/>
        <v/>
      </c>
      <c r="S60" s="6" t="str">
        <f ca="1">IF(is_cat, _xlfn.NUMBERVALUE( tracked_rank &amp; IF(LEN(budget_rank)=1, "0", "") &amp; budget_rank), "")</f>
        <v/>
      </c>
      <c r="T60" t="str">
        <f t="shared" ca="1" si="7"/>
        <v/>
      </c>
      <c r="U60" t="str">
        <f t="shared" ca="1" si="8"/>
        <v/>
      </c>
      <c r="V60" t="str">
        <f t="shared" ca="1" si="9"/>
        <v/>
      </c>
      <c r="W60" s="7" t="str">
        <f t="shared" ca="1" si="10"/>
        <v/>
      </c>
      <c r="X60" s="57">
        <f t="shared" ca="1" si="11"/>
        <v>-1</v>
      </c>
      <c r="Y60" s="58" t="str">
        <f t="shared" ca="1" si="12"/>
        <v/>
      </c>
      <c r="Z60" s="60" t="str">
        <f t="shared" ca="1" si="13"/>
        <v/>
      </c>
      <c r="AA60" s="60" t="str">
        <f t="shared" ca="1" si="14"/>
        <v/>
      </c>
      <c r="AB60" s="59" t="str">
        <f t="shared" ca="1" si="15"/>
        <v/>
      </c>
      <c r="AC60" s="60" t="str">
        <f t="shared" ca="1" si="16"/>
        <v/>
      </c>
      <c r="AD60" s="60" t="str">
        <f t="shared" ca="1" si="17"/>
        <v/>
      </c>
    </row>
    <row r="61" spans="3:30" x14ac:dyDescent="0.2">
      <c r="C61" s="6" cm="1">
        <f t="array" aca="1" ref="C61" ca="1">IF(C60=-1,-1,
      IF(C60&lt;income_max_row, C60+1,
          IF(C60=income_max_row, income_total_row,
              IF(C60=income_total_row, "/1",
                  IF(C60="/1", expenses_header_row,
                      IF(C60&lt;expenses_max_row, C60+1,
                          IF(C60=expenses_max_row, expenses_total_row,
                              IF(C60=expenses_total_row, "/2",
                                  IF(C60="/2", savings_header_row,
                                      IF(C60&lt;savings_max_row, C60+1,
                                          IF(C60=savings_max_row, savings_total_row, -1)))))))))))</f>
        <v>-1</v>
      </c>
      <c r="D61" s="7">
        <f t="shared" ca="1" si="0"/>
        <v>-1</v>
      </c>
      <c r="E61" s="6" cm="1">
        <f t="array" aca="1" ref="E61" ca="1">1*OR(row_id=income_header_row, row_id=expenses_header_row, row_id=savings_header_row)</f>
        <v>0</v>
      </c>
      <c r="F61">
        <f t="shared" ca="1" si="1"/>
        <v>0</v>
      </c>
      <c r="G61" cm="1">
        <f t="array" aca="1" ref="G61" ca="1">1*OR(row_id=income_total_row, row_id=expenses_total_row, row_id=savings_total_row)</f>
        <v>0</v>
      </c>
      <c r="H61" s="7">
        <f t="shared" ca="1" si="2"/>
        <v>1</v>
      </c>
      <c r="I61" s="6" t="str" cm="1">
        <f t="array" aca="1" ref="I61" ca="1">IFERROR(INDEX('Budget Planning'!$C:$C, header_row_id),"")</f>
        <v/>
      </c>
      <c r="J61" t="str" cm="1">
        <f t="array" aca="1" ref="J61" ca="1">IFERROR(INDEX('Budget Planning'!$C:$C, row_id),"")</f>
        <v/>
      </c>
      <c r="K61" s="54" t="str" cm="1">
        <f t="array" aca="1" ref="K6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1" s="55" t="str" cm="1">
        <f t="array" aca="1" ref="L61" ca="1">IF(OR(is_header, is_empty), "",
      INDEX('Budget Planning'!$E:$EM, row_id,
                  MATCH(IF(selected_period="Total Year", selected_year, DATE(selected_year, selected_period, 1)), 'Budget Planning'!$E$9:$EM$9, 0)  ))</f>
        <v/>
      </c>
      <c r="M61" s="6" t="str" cm="1">
        <f t="array" aca="1" ref="M61" ca="1">IF(is_cat,
       IF(header_row_id=income_header_row, MATCH(income_min_row, $C:$C, 0),
           IF(header_row_id=expenses_header_row, MATCH(expenses_min_row, $C:$C, 0),
               IF(header_row_id=savings_header_row, MATCH(savings_min_row, $C:$C, 0),""))), "")</f>
        <v/>
      </c>
      <c r="N61" s="7" t="str" cm="1">
        <f t="array" aca="1" ref="N61" ca="1">IF(is_cat,
       IF(header_row_id=income_header_row, MATCH(income_max_row, $C:$C, 0),
           IF(header_row_id=expenses_header_row, MATCH(expenses_max_row, $C:$C, 0),
               IF(header_row_id=savings_header_row, MATCH(savings_max_row, $C:$C, 0),""))), "")</f>
        <v/>
      </c>
      <c r="O61" s="6" t="str">
        <f t="shared" ca="1" si="3"/>
        <v/>
      </c>
      <c r="P61" t="str">
        <f t="shared" ca="1" si="4"/>
        <v/>
      </c>
      <c r="Q61" t="str">
        <f t="shared" ca="1" si="5"/>
        <v/>
      </c>
      <c r="R61" s="7" t="str">
        <f t="shared" ca="1" si="6"/>
        <v/>
      </c>
      <c r="S61" s="6" t="str">
        <f ca="1">IF(is_cat, _xlfn.NUMBERVALUE( tracked_rank &amp; IF(LEN(budget_rank)=1, "0", "") &amp; budget_rank), "")</f>
        <v/>
      </c>
      <c r="T61" t="str">
        <f t="shared" ca="1" si="7"/>
        <v/>
      </c>
      <c r="U61" t="str">
        <f t="shared" ca="1" si="8"/>
        <v/>
      </c>
      <c r="V61" t="str">
        <f t="shared" ca="1" si="9"/>
        <v/>
      </c>
      <c r="W61" s="7" t="str">
        <f t="shared" ca="1" si="10"/>
        <v/>
      </c>
      <c r="X61" s="57">
        <f t="shared" ca="1" si="11"/>
        <v>-1</v>
      </c>
      <c r="Y61" s="58" t="str">
        <f t="shared" ca="1" si="12"/>
        <v/>
      </c>
      <c r="Z61" s="60" t="str">
        <f t="shared" ca="1" si="13"/>
        <v/>
      </c>
      <c r="AA61" s="60" t="str">
        <f t="shared" ca="1" si="14"/>
        <v/>
      </c>
      <c r="AB61" s="59" t="str">
        <f t="shared" ca="1" si="15"/>
        <v/>
      </c>
      <c r="AC61" s="60" t="str">
        <f t="shared" ca="1" si="16"/>
        <v/>
      </c>
      <c r="AD61" s="60" t="str">
        <f t="shared" ca="1" si="17"/>
        <v/>
      </c>
    </row>
    <row r="62" spans="3:30" x14ac:dyDescent="0.2">
      <c r="C62" s="6" cm="1">
        <f t="array" aca="1" ref="C62" ca="1">IF(C61=-1,-1,
      IF(C61&lt;income_max_row, C61+1,
          IF(C61=income_max_row, income_total_row,
              IF(C61=income_total_row, "/1",
                  IF(C61="/1", expenses_header_row,
                      IF(C61&lt;expenses_max_row, C61+1,
                          IF(C61=expenses_max_row, expenses_total_row,
                              IF(C61=expenses_total_row, "/2",
                                  IF(C61="/2", savings_header_row,
                                      IF(C61&lt;savings_max_row, C61+1,
                                          IF(C61=savings_max_row, savings_total_row, -1)))))))))))</f>
        <v>-1</v>
      </c>
      <c r="D62" s="7">
        <f t="shared" ca="1" si="0"/>
        <v>-1</v>
      </c>
      <c r="E62" s="6" cm="1">
        <f t="array" aca="1" ref="E62" ca="1">1*OR(row_id=income_header_row, row_id=expenses_header_row, row_id=savings_header_row)</f>
        <v>0</v>
      </c>
      <c r="F62">
        <f t="shared" ca="1" si="1"/>
        <v>0</v>
      </c>
      <c r="G62" cm="1">
        <f t="array" aca="1" ref="G62" ca="1">1*OR(row_id=income_total_row, row_id=expenses_total_row, row_id=savings_total_row)</f>
        <v>0</v>
      </c>
      <c r="H62" s="7">
        <f t="shared" ca="1" si="2"/>
        <v>1</v>
      </c>
      <c r="I62" s="6" t="str" cm="1">
        <f t="array" aca="1" ref="I62" ca="1">IFERROR(INDEX('Budget Planning'!$C:$C, header_row_id),"")</f>
        <v/>
      </c>
      <c r="J62" t="str" cm="1">
        <f t="array" aca="1" ref="J62" ca="1">IFERROR(INDEX('Budget Planning'!$C:$C, row_id),"")</f>
        <v/>
      </c>
      <c r="K62" s="54" t="str" cm="1">
        <f t="array" aca="1" ref="K6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2" s="55" t="str" cm="1">
        <f t="array" aca="1" ref="L62" ca="1">IF(OR(is_header, is_empty), "",
      INDEX('Budget Planning'!$E:$EM, row_id,
                  MATCH(IF(selected_period="Total Year", selected_year, DATE(selected_year, selected_period, 1)), 'Budget Planning'!$E$9:$EM$9, 0)  ))</f>
        <v/>
      </c>
      <c r="M62" s="6" t="str" cm="1">
        <f t="array" aca="1" ref="M62" ca="1">IF(is_cat,
       IF(header_row_id=income_header_row, MATCH(income_min_row, $C:$C, 0),
           IF(header_row_id=expenses_header_row, MATCH(expenses_min_row, $C:$C, 0),
               IF(header_row_id=savings_header_row, MATCH(savings_min_row, $C:$C, 0),""))), "")</f>
        <v/>
      </c>
      <c r="N62" s="7" t="str" cm="1">
        <f t="array" aca="1" ref="N62" ca="1">IF(is_cat,
       IF(header_row_id=income_header_row, MATCH(income_max_row, $C:$C, 0),
           IF(header_row_id=expenses_header_row, MATCH(expenses_max_row, $C:$C, 0),
               IF(header_row_id=savings_header_row, MATCH(savings_max_row, $C:$C, 0),""))), "")</f>
        <v/>
      </c>
      <c r="O62" s="6" t="str">
        <f t="shared" ca="1" si="3"/>
        <v/>
      </c>
      <c r="P62" t="str">
        <f t="shared" ca="1" si="4"/>
        <v/>
      </c>
      <c r="Q62" t="str">
        <f t="shared" ca="1" si="5"/>
        <v/>
      </c>
      <c r="R62" s="7" t="str">
        <f t="shared" ca="1" si="6"/>
        <v/>
      </c>
      <c r="S62" s="6" t="str">
        <f ca="1">IF(is_cat, _xlfn.NUMBERVALUE( tracked_rank &amp; IF(LEN(budget_rank)=1, "0", "") &amp; budget_rank), "")</f>
        <v/>
      </c>
      <c r="T62" t="str">
        <f t="shared" ca="1" si="7"/>
        <v/>
      </c>
      <c r="U62" t="str">
        <f t="shared" ca="1" si="8"/>
        <v/>
      </c>
      <c r="V62" t="str">
        <f t="shared" ca="1" si="9"/>
        <v/>
      </c>
      <c r="W62" s="7" t="str">
        <f t="shared" ca="1" si="10"/>
        <v/>
      </c>
      <c r="X62" s="57">
        <f t="shared" ca="1" si="11"/>
        <v>-1</v>
      </c>
      <c r="Y62" s="58" t="str">
        <f t="shared" ca="1" si="12"/>
        <v/>
      </c>
      <c r="Z62" s="60" t="str">
        <f t="shared" ca="1" si="13"/>
        <v/>
      </c>
      <c r="AA62" s="60" t="str">
        <f t="shared" ca="1" si="14"/>
        <v/>
      </c>
      <c r="AB62" s="59" t="str">
        <f t="shared" ca="1" si="15"/>
        <v/>
      </c>
      <c r="AC62" s="60" t="str">
        <f t="shared" ca="1" si="16"/>
        <v/>
      </c>
      <c r="AD62" s="60" t="str">
        <f t="shared" ca="1" si="17"/>
        <v/>
      </c>
    </row>
    <row r="63" spans="3:30" x14ac:dyDescent="0.2">
      <c r="C63" s="6" cm="1">
        <f t="array" aca="1" ref="C63" ca="1">IF(C62=-1,-1,
      IF(C62&lt;income_max_row, C62+1,
          IF(C62=income_max_row, income_total_row,
              IF(C62=income_total_row, "/1",
                  IF(C62="/1", expenses_header_row,
                      IF(C62&lt;expenses_max_row, C62+1,
                          IF(C62=expenses_max_row, expenses_total_row,
                              IF(C62=expenses_total_row, "/2",
                                  IF(C62="/2", savings_header_row,
                                      IF(C62&lt;savings_max_row, C62+1,
                                          IF(C62=savings_max_row, savings_total_row, -1)))))))))))</f>
        <v>-1</v>
      </c>
      <c r="D63" s="7">
        <f t="shared" ca="1" si="0"/>
        <v>-1</v>
      </c>
      <c r="E63" s="6" cm="1">
        <f t="array" aca="1" ref="E63" ca="1">1*OR(row_id=income_header_row, row_id=expenses_header_row, row_id=savings_header_row)</f>
        <v>0</v>
      </c>
      <c r="F63">
        <f t="shared" ca="1" si="1"/>
        <v>0</v>
      </c>
      <c r="G63" cm="1">
        <f t="array" aca="1" ref="G63" ca="1">1*OR(row_id=income_total_row, row_id=expenses_total_row, row_id=savings_total_row)</f>
        <v>0</v>
      </c>
      <c r="H63" s="7">
        <f t="shared" ca="1" si="2"/>
        <v>1</v>
      </c>
      <c r="I63" s="6" t="str" cm="1">
        <f t="array" aca="1" ref="I63" ca="1">IFERROR(INDEX('Budget Planning'!$C:$C, header_row_id),"")</f>
        <v/>
      </c>
      <c r="J63" t="str" cm="1">
        <f t="array" aca="1" ref="J63" ca="1">IFERROR(INDEX('Budget Planning'!$C:$C, row_id),"")</f>
        <v/>
      </c>
      <c r="K63" s="54" t="str" cm="1">
        <f t="array" aca="1" ref="K6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3" s="55" t="str" cm="1">
        <f t="array" aca="1" ref="L63" ca="1">IF(OR(is_header, is_empty), "",
      INDEX('Budget Planning'!$E:$EM, row_id,
                  MATCH(IF(selected_period="Total Year", selected_year, DATE(selected_year, selected_period, 1)), 'Budget Planning'!$E$9:$EM$9, 0)  ))</f>
        <v/>
      </c>
      <c r="M63" s="6" t="str" cm="1">
        <f t="array" aca="1" ref="M63" ca="1">IF(is_cat,
       IF(header_row_id=income_header_row, MATCH(income_min_row, $C:$C, 0),
           IF(header_row_id=expenses_header_row, MATCH(expenses_min_row, $C:$C, 0),
               IF(header_row_id=savings_header_row, MATCH(savings_min_row, $C:$C, 0),""))), "")</f>
        <v/>
      </c>
      <c r="N63" s="7" t="str" cm="1">
        <f t="array" aca="1" ref="N63" ca="1">IF(is_cat,
       IF(header_row_id=income_header_row, MATCH(income_max_row, $C:$C, 0),
           IF(header_row_id=expenses_header_row, MATCH(expenses_max_row, $C:$C, 0),
               IF(header_row_id=savings_header_row, MATCH(savings_max_row, $C:$C, 0),""))), "")</f>
        <v/>
      </c>
      <c r="O63" s="6" t="str">
        <f t="shared" ca="1" si="3"/>
        <v/>
      </c>
      <c r="P63" t="str">
        <f t="shared" ca="1" si="4"/>
        <v/>
      </c>
      <c r="Q63" t="str">
        <f t="shared" ca="1" si="5"/>
        <v/>
      </c>
      <c r="R63" s="7" t="str">
        <f t="shared" ca="1" si="6"/>
        <v/>
      </c>
      <c r="S63" s="6" t="str">
        <f ca="1">IF(is_cat, _xlfn.NUMBERVALUE( tracked_rank &amp; IF(LEN(budget_rank)=1, "0", "") &amp; budget_rank), "")</f>
        <v/>
      </c>
      <c r="T63" t="str">
        <f t="shared" ca="1" si="7"/>
        <v/>
      </c>
      <c r="U63" t="str">
        <f t="shared" ca="1" si="8"/>
        <v/>
      </c>
      <c r="V63" t="str">
        <f t="shared" ca="1" si="9"/>
        <v/>
      </c>
      <c r="W63" s="7" t="str">
        <f t="shared" ca="1" si="10"/>
        <v/>
      </c>
      <c r="X63" s="57">
        <f t="shared" ca="1" si="11"/>
        <v>-1</v>
      </c>
      <c r="Y63" s="58" t="str">
        <f t="shared" ca="1" si="12"/>
        <v/>
      </c>
      <c r="Z63" s="60" t="str">
        <f t="shared" ca="1" si="13"/>
        <v/>
      </c>
      <c r="AA63" s="60" t="str">
        <f t="shared" ca="1" si="14"/>
        <v/>
      </c>
      <c r="AB63" s="59" t="str">
        <f t="shared" ca="1" si="15"/>
        <v/>
      </c>
      <c r="AC63" s="60" t="str">
        <f t="shared" ca="1" si="16"/>
        <v/>
      </c>
      <c r="AD63" s="60" t="str">
        <f t="shared" ca="1" si="17"/>
        <v/>
      </c>
    </row>
    <row r="64" spans="3:30" x14ac:dyDescent="0.2">
      <c r="C64" s="6" cm="1">
        <f t="array" aca="1" ref="C64" ca="1">IF(C63=-1,-1,
      IF(C63&lt;income_max_row, C63+1,
          IF(C63=income_max_row, income_total_row,
              IF(C63=income_total_row, "/1",
                  IF(C63="/1", expenses_header_row,
                      IF(C63&lt;expenses_max_row, C63+1,
                          IF(C63=expenses_max_row, expenses_total_row,
                              IF(C63=expenses_total_row, "/2",
                                  IF(C63="/2", savings_header_row,
                                      IF(C63&lt;savings_max_row, C63+1,
                                          IF(C63=savings_max_row, savings_total_row, -1)))))))))))</f>
        <v>-1</v>
      </c>
      <c r="D64" s="7">
        <f t="shared" ca="1" si="0"/>
        <v>-1</v>
      </c>
      <c r="E64" s="6" cm="1">
        <f t="array" aca="1" ref="E64" ca="1">1*OR(row_id=income_header_row, row_id=expenses_header_row, row_id=savings_header_row)</f>
        <v>0</v>
      </c>
      <c r="F64">
        <f t="shared" ca="1" si="1"/>
        <v>0</v>
      </c>
      <c r="G64" cm="1">
        <f t="array" aca="1" ref="G64" ca="1">1*OR(row_id=income_total_row, row_id=expenses_total_row, row_id=savings_total_row)</f>
        <v>0</v>
      </c>
      <c r="H64" s="7">
        <f t="shared" ca="1" si="2"/>
        <v>1</v>
      </c>
      <c r="I64" s="6" t="str" cm="1">
        <f t="array" aca="1" ref="I64" ca="1">IFERROR(INDEX('Budget Planning'!$C:$C, header_row_id),"")</f>
        <v/>
      </c>
      <c r="J64" t="str" cm="1">
        <f t="array" aca="1" ref="J64" ca="1">IFERROR(INDEX('Budget Planning'!$C:$C, row_id),"")</f>
        <v/>
      </c>
      <c r="K64" s="54" t="str" cm="1">
        <f t="array" aca="1" ref="K6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4" s="55" t="str" cm="1">
        <f t="array" aca="1" ref="L64" ca="1">IF(OR(is_header, is_empty), "",
      INDEX('Budget Planning'!$E:$EM, row_id,
                  MATCH(IF(selected_period="Total Year", selected_year, DATE(selected_year, selected_period, 1)), 'Budget Planning'!$E$9:$EM$9, 0)  ))</f>
        <v/>
      </c>
      <c r="M64" s="6" t="str" cm="1">
        <f t="array" aca="1" ref="M64" ca="1">IF(is_cat,
       IF(header_row_id=income_header_row, MATCH(income_min_row, $C:$C, 0),
           IF(header_row_id=expenses_header_row, MATCH(expenses_min_row, $C:$C, 0),
               IF(header_row_id=savings_header_row, MATCH(savings_min_row, $C:$C, 0),""))), "")</f>
        <v/>
      </c>
      <c r="N64" s="7" t="str" cm="1">
        <f t="array" aca="1" ref="N64" ca="1">IF(is_cat,
       IF(header_row_id=income_header_row, MATCH(income_max_row, $C:$C, 0),
           IF(header_row_id=expenses_header_row, MATCH(expenses_max_row, $C:$C, 0),
               IF(header_row_id=savings_header_row, MATCH(savings_max_row, $C:$C, 0),""))), "")</f>
        <v/>
      </c>
      <c r="O64" s="6" t="str">
        <f t="shared" ca="1" si="3"/>
        <v/>
      </c>
      <c r="P64" t="str">
        <f t="shared" ca="1" si="4"/>
        <v/>
      </c>
      <c r="Q64" t="str">
        <f t="shared" ca="1" si="5"/>
        <v/>
      </c>
      <c r="R64" s="7" t="str">
        <f t="shared" ca="1" si="6"/>
        <v/>
      </c>
      <c r="S64" s="6" t="str">
        <f ca="1">IF(is_cat, _xlfn.NUMBERVALUE( tracked_rank &amp; IF(LEN(budget_rank)=1, "0", "") &amp; budget_rank), "")</f>
        <v/>
      </c>
      <c r="T64" t="str">
        <f t="shared" ca="1" si="7"/>
        <v/>
      </c>
      <c r="U64" t="str">
        <f t="shared" ca="1" si="8"/>
        <v/>
      </c>
      <c r="V64" t="str">
        <f t="shared" ca="1" si="9"/>
        <v/>
      </c>
      <c r="W64" s="7" t="str">
        <f t="shared" ca="1" si="10"/>
        <v/>
      </c>
      <c r="X64" s="57">
        <f t="shared" ca="1" si="11"/>
        <v>-1</v>
      </c>
      <c r="Y64" s="58" t="str">
        <f t="shared" ca="1" si="12"/>
        <v/>
      </c>
      <c r="Z64" s="60" t="str">
        <f t="shared" ca="1" si="13"/>
        <v/>
      </c>
      <c r="AA64" s="60" t="str">
        <f t="shared" ca="1" si="14"/>
        <v/>
      </c>
      <c r="AB64" s="59" t="str">
        <f t="shared" ca="1" si="15"/>
        <v/>
      </c>
      <c r="AC64" s="60" t="str">
        <f t="shared" ca="1" si="16"/>
        <v/>
      </c>
      <c r="AD64" s="60" t="str">
        <f t="shared" ca="1" si="17"/>
        <v/>
      </c>
    </row>
    <row r="65" spans="3:30" x14ac:dyDescent="0.2">
      <c r="C65" s="6" cm="1">
        <f t="array" aca="1" ref="C65" ca="1">IF(C64=-1,-1,
      IF(C64&lt;income_max_row, C64+1,
          IF(C64=income_max_row, income_total_row,
              IF(C64=income_total_row, "/1",
                  IF(C64="/1", expenses_header_row,
                      IF(C64&lt;expenses_max_row, C64+1,
                          IF(C64=expenses_max_row, expenses_total_row,
                              IF(C64=expenses_total_row, "/2",
                                  IF(C64="/2", savings_header_row,
                                      IF(C64&lt;savings_max_row, C64+1,
                                          IF(C64=savings_max_row, savings_total_row, -1)))))))))))</f>
        <v>-1</v>
      </c>
      <c r="D65" s="7">
        <f t="shared" ca="1" si="0"/>
        <v>-1</v>
      </c>
      <c r="E65" s="6" cm="1">
        <f t="array" aca="1" ref="E65" ca="1">1*OR(row_id=income_header_row, row_id=expenses_header_row, row_id=savings_header_row)</f>
        <v>0</v>
      </c>
      <c r="F65">
        <f t="shared" ca="1" si="1"/>
        <v>0</v>
      </c>
      <c r="G65" cm="1">
        <f t="array" aca="1" ref="G65" ca="1">1*OR(row_id=income_total_row, row_id=expenses_total_row, row_id=savings_total_row)</f>
        <v>0</v>
      </c>
      <c r="H65" s="7">
        <f t="shared" ca="1" si="2"/>
        <v>1</v>
      </c>
      <c r="I65" s="6" t="str" cm="1">
        <f t="array" aca="1" ref="I65" ca="1">IFERROR(INDEX('Budget Planning'!$C:$C, header_row_id),"")</f>
        <v/>
      </c>
      <c r="J65" t="str" cm="1">
        <f t="array" aca="1" ref="J65" ca="1">IFERROR(INDEX('Budget Planning'!$C:$C, row_id),"")</f>
        <v/>
      </c>
      <c r="K65" s="54" t="str" cm="1">
        <f t="array" aca="1" ref="K6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5" s="55" t="str" cm="1">
        <f t="array" aca="1" ref="L65" ca="1">IF(OR(is_header, is_empty), "",
      INDEX('Budget Planning'!$E:$EM, row_id,
                  MATCH(IF(selected_period="Total Year", selected_year, DATE(selected_year, selected_period, 1)), 'Budget Planning'!$E$9:$EM$9, 0)  ))</f>
        <v/>
      </c>
      <c r="M65" s="6" t="str" cm="1">
        <f t="array" aca="1" ref="M65" ca="1">IF(is_cat,
       IF(header_row_id=income_header_row, MATCH(income_min_row, $C:$C, 0),
           IF(header_row_id=expenses_header_row, MATCH(expenses_min_row, $C:$C, 0),
               IF(header_row_id=savings_header_row, MATCH(savings_min_row, $C:$C, 0),""))), "")</f>
        <v/>
      </c>
      <c r="N65" s="7" t="str" cm="1">
        <f t="array" aca="1" ref="N65" ca="1">IF(is_cat,
       IF(header_row_id=income_header_row, MATCH(income_max_row, $C:$C, 0),
           IF(header_row_id=expenses_header_row, MATCH(expenses_max_row, $C:$C, 0),
               IF(header_row_id=savings_header_row, MATCH(savings_max_row, $C:$C, 0),""))), "")</f>
        <v/>
      </c>
      <c r="O65" s="6" t="str">
        <f t="shared" ca="1" si="3"/>
        <v/>
      </c>
      <c r="P65" t="str">
        <f t="shared" ca="1" si="4"/>
        <v/>
      </c>
      <c r="Q65" t="str">
        <f t="shared" ca="1" si="5"/>
        <v/>
      </c>
      <c r="R65" s="7" t="str">
        <f t="shared" ca="1" si="6"/>
        <v/>
      </c>
      <c r="S65" s="6" t="str">
        <f ca="1">IF(is_cat, _xlfn.NUMBERVALUE( tracked_rank &amp; IF(LEN(budget_rank)=1, "0", "") &amp; budget_rank), "")</f>
        <v/>
      </c>
      <c r="T65" t="str">
        <f t="shared" ca="1" si="7"/>
        <v/>
      </c>
      <c r="U65" t="str">
        <f t="shared" ca="1" si="8"/>
        <v/>
      </c>
      <c r="V65" t="str">
        <f t="shared" ca="1" si="9"/>
        <v/>
      </c>
      <c r="W65" s="7" t="str">
        <f t="shared" ca="1" si="10"/>
        <v/>
      </c>
      <c r="X65" s="57">
        <f t="shared" ca="1" si="11"/>
        <v>-1</v>
      </c>
      <c r="Y65" s="58" t="str">
        <f t="shared" ca="1" si="12"/>
        <v/>
      </c>
      <c r="Z65" s="60" t="str">
        <f t="shared" ca="1" si="13"/>
        <v/>
      </c>
      <c r="AA65" s="60" t="str">
        <f t="shared" ca="1" si="14"/>
        <v/>
      </c>
      <c r="AB65" s="59" t="str">
        <f t="shared" ca="1" si="15"/>
        <v/>
      </c>
      <c r="AC65" s="60" t="str">
        <f t="shared" ca="1" si="16"/>
        <v/>
      </c>
      <c r="AD65" s="60" t="str">
        <f t="shared" ca="1" si="17"/>
        <v/>
      </c>
    </row>
    <row r="66" spans="3:30" x14ac:dyDescent="0.2">
      <c r="C66" s="6" cm="1">
        <f t="array" aca="1" ref="C66" ca="1">IF(C65=-1,-1,
      IF(C65&lt;income_max_row, C65+1,
          IF(C65=income_max_row, income_total_row,
              IF(C65=income_total_row, "/1",
                  IF(C65="/1", expenses_header_row,
                      IF(C65&lt;expenses_max_row, C65+1,
                          IF(C65=expenses_max_row, expenses_total_row,
                              IF(C65=expenses_total_row, "/2",
                                  IF(C65="/2", savings_header_row,
                                      IF(C65&lt;savings_max_row, C65+1,
                                          IF(C65=savings_max_row, savings_total_row, -1)))))))))))</f>
        <v>-1</v>
      </c>
      <c r="D66" s="7">
        <f t="shared" ca="1" si="0"/>
        <v>-1</v>
      </c>
      <c r="E66" s="6" cm="1">
        <f t="array" aca="1" ref="E66" ca="1">1*OR(row_id=income_header_row, row_id=expenses_header_row, row_id=savings_header_row)</f>
        <v>0</v>
      </c>
      <c r="F66">
        <f t="shared" ca="1" si="1"/>
        <v>0</v>
      </c>
      <c r="G66" cm="1">
        <f t="array" aca="1" ref="G66" ca="1">1*OR(row_id=income_total_row, row_id=expenses_total_row, row_id=savings_total_row)</f>
        <v>0</v>
      </c>
      <c r="H66" s="7">
        <f t="shared" ca="1" si="2"/>
        <v>1</v>
      </c>
      <c r="I66" s="6" t="str" cm="1">
        <f t="array" aca="1" ref="I66" ca="1">IFERROR(INDEX('Budget Planning'!$C:$C, header_row_id),"")</f>
        <v/>
      </c>
      <c r="J66" t="str" cm="1">
        <f t="array" aca="1" ref="J66" ca="1">IFERROR(INDEX('Budget Planning'!$C:$C, row_id),"")</f>
        <v/>
      </c>
      <c r="K66" s="54" t="str" cm="1">
        <f t="array" aca="1" ref="K6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6" s="55" t="str" cm="1">
        <f t="array" aca="1" ref="L66" ca="1">IF(OR(is_header, is_empty), "",
      INDEX('Budget Planning'!$E:$EM, row_id,
                  MATCH(IF(selected_period="Total Year", selected_year, DATE(selected_year, selected_period, 1)), 'Budget Planning'!$E$9:$EM$9, 0)  ))</f>
        <v/>
      </c>
      <c r="M66" s="6" t="str" cm="1">
        <f t="array" aca="1" ref="M66" ca="1">IF(is_cat,
       IF(header_row_id=income_header_row, MATCH(income_min_row, $C:$C, 0),
           IF(header_row_id=expenses_header_row, MATCH(expenses_min_row, $C:$C, 0),
               IF(header_row_id=savings_header_row, MATCH(savings_min_row, $C:$C, 0),""))), "")</f>
        <v/>
      </c>
      <c r="N66" s="7" t="str" cm="1">
        <f t="array" aca="1" ref="N66" ca="1">IF(is_cat,
       IF(header_row_id=income_header_row, MATCH(income_max_row, $C:$C, 0),
           IF(header_row_id=expenses_header_row, MATCH(expenses_max_row, $C:$C, 0),
               IF(header_row_id=savings_header_row, MATCH(savings_max_row, $C:$C, 0),""))), "")</f>
        <v/>
      </c>
      <c r="O66" s="6" t="str">
        <f t="shared" ca="1" si="3"/>
        <v/>
      </c>
      <c r="P66" t="str">
        <f t="shared" ca="1" si="4"/>
        <v/>
      </c>
      <c r="Q66" t="str">
        <f t="shared" ca="1" si="5"/>
        <v/>
      </c>
      <c r="R66" s="7" t="str">
        <f t="shared" ca="1" si="6"/>
        <v/>
      </c>
      <c r="S66" s="6" t="str">
        <f ca="1">IF(is_cat, _xlfn.NUMBERVALUE( tracked_rank &amp; IF(LEN(budget_rank)=1, "0", "") &amp; budget_rank), "")</f>
        <v/>
      </c>
      <c r="T66" t="str">
        <f t="shared" ca="1" si="7"/>
        <v/>
      </c>
      <c r="U66" t="str">
        <f t="shared" ca="1" si="8"/>
        <v/>
      </c>
      <c r="V66" t="str">
        <f t="shared" ca="1" si="9"/>
        <v/>
      </c>
      <c r="W66" s="7" t="str">
        <f t="shared" ca="1" si="10"/>
        <v/>
      </c>
      <c r="X66" s="57">
        <f t="shared" ca="1" si="11"/>
        <v>-1</v>
      </c>
      <c r="Y66" s="58" t="str">
        <f t="shared" ca="1" si="12"/>
        <v/>
      </c>
      <c r="Z66" s="60" t="str">
        <f t="shared" ca="1" si="13"/>
        <v/>
      </c>
      <c r="AA66" s="60" t="str">
        <f t="shared" ca="1" si="14"/>
        <v/>
      </c>
      <c r="AB66" s="59" t="str">
        <f t="shared" ca="1" si="15"/>
        <v/>
      </c>
      <c r="AC66" s="60" t="str">
        <f t="shared" ca="1" si="16"/>
        <v/>
      </c>
      <c r="AD66" s="60" t="str">
        <f t="shared" ca="1" si="17"/>
        <v/>
      </c>
    </row>
    <row r="67" spans="3:30" x14ac:dyDescent="0.2">
      <c r="C67" s="6" cm="1">
        <f t="array" aca="1" ref="C67" ca="1">IF(C66=-1,-1,
      IF(C66&lt;income_max_row, C66+1,
          IF(C66=income_max_row, income_total_row,
              IF(C66=income_total_row, "/1",
                  IF(C66="/1", expenses_header_row,
                      IF(C66&lt;expenses_max_row, C66+1,
                          IF(C66=expenses_max_row, expenses_total_row,
                              IF(C66=expenses_total_row, "/2",
                                  IF(C66="/2", savings_header_row,
                                      IF(C66&lt;savings_max_row, C66+1,
                                          IF(C66=savings_max_row, savings_total_row, -1)))))))))))</f>
        <v>-1</v>
      </c>
      <c r="D67" s="7">
        <f t="shared" ca="1" si="0"/>
        <v>-1</v>
      </c>
      <c r="E67" s="6" cm="1">
        <f t="array" aca="1" ref="E67" ca="1">1*OR(row_id=income_header_row, row_id=expenses_header_row, row_id=savings_header_row)</f>
        <v>0</v>
      </c>
      <c r="F67">
        <f t="shared" ca="1" si="1"/>
        <v>0</v>
      </c>
      <c r="G67" cm="1">
        <f t="array" aca="1" ref="G67" ca="1">1*OR(row_id=income_total_row, row_id=expenses_total_row, row_id=savings_total_row)</f>
        <v>0</v>
      </c>
      <c r="H67" s="7">
        <f t="shared" ca="1" si="2"/>
        <v>1</v>
      </c>
      <c r="I67" s="6" t="str" cm="1">
        <f t="array" aca="1" ref="I67" ca="1">IFERROR(INDEX('Budget Planning'!$C:$C, header_row_id),"")</f>
        <v/>
      </c>
      <c r="J67" t="str" cm="1">
        <f t="array" aca="1" ref="J67" ca="1">IFERROR(INDEX('Budget Planning'!$C:$C, row_id),"")</f>
        <v/>
      </c>
      <c r="K67" s="54" t="str" cm="1">
        <f t="array" aca="1" ref="K6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7" s="55" t="str" cm="1">
        <f t="array" aca="1" ref="L67" ca="1">IF(OR(is_header, is_empty), "",
      INDEX('Budget Planning'!$E:$EM, row_id,
                  MATCH(IF(selected_period="Total Year", selected_year, DATE(selected_year, selected_period, 1)), 'Budget Planning'!$E$9:$EM$9, 0)  ))</f>
        <v/>
      </c>
      <c r="M67" s="6" t="str" cm="1">
        <f t="array" aca="1" ref="M67" ca="1">IF(is_cat,
       IF(header_row_id=income_header_row, MATCH(income_min_row, $C:$C, 0),
           IF(header_row_id=expenses_header_row, MATCH(expenses_min_row, $C:$C, 0),
               IF(header_row_id=savings_header_row, MATCH(savings_min_row, $C:$C, 0),""))), "")</f>
        <v/>
      </c>
      <c r="N67" s="7" t="str" cm="1">
        <f t="array" aca="1" ref="N67" ca="1">IF(is_cat,
       IF(header_row_id=income_header_row, MATCH(income_max_row, $C:$C, 0),
           IF(header_row_id=expenses_header_row, MATCH(expenses_max_row, $C:$C, 0),
               IF(header_row_id=savings_header_row, MATCH(savings_max_row, $C:$C, 0),""))), "")</f>
        <v/>
      </c>
      <c r="O67" s="6" t="str">
        <f t="shared" ca="1" si="3"/>
        <v/>
      </c>
      <c r="P67" t="str">
        <f t="shared" ca="1" si="4"/>
        <v/>
      </c>
      <c r="Q67" t="str">
        <f t="shared" ca="1" si="5"/>
        <v/>
      </c>
      <c r="R67" s="7" t="str">
        <f t="shared" ca="1" si="6"/>
        <v/>
      </c>
      <c r="S67" s="6" t="str">
        <f ca="1">IF(is_cat, _xlfn.NUMBERVALUE( tracked_rank &amp; IF(LEN(budget_rank)=1, "0", "") &amp; budget_rank), "")</f>
        <v/>
      </c>
      <c r="T67" t="str">
        <f t="shared" ca="1" si="7"/>
        <v/>
      </c>
      <c r="U67" t="str">
        <f t="shared" ca="1" si="8"/>
        <v/>
      </c>
      <c r="V67" t="str">
        <f t="shared" ca="1" si="9"/>
        <v/>
      </c>
      <c r="W67" s="7" t="str">
        <f t="shared" ca="1" si="10"/>
        <v/>
      </c>
      <c r="X67" s="57">
        <f t="shared" ca="1" si="11"/>
        <v>-1</v>
      </c>
      <c r="Y67" s="58" t="str">
        <f t="shared" ca="1" si="12"/>
        <v/>
      </c>
      <c r="Z67" s="60" t="str">
        <f t="shared" ca="1" si="13"/>
        <v/>
      </c>
      <c r="AA67" s="60" t="str">
        <f t="shared" ca="1" si="14"/>
        <v/>
      </c>
      <c r="AB67" s="59" t="str">
        <f t="shared" ca="1" si="15"/>
        <v/>
      </c>
      <c r="AC67" s="60" t="str">
        <f t="shared" ca="1" si="16"/>
        <v/>
      </c>
      <c r="AD67" s="60" t="str">
        <f t="shared" ca="1" si="17"/>
        <v/>
      </c>
    </row>
    <row r="68" spans="3:30" x14ac:dyDescent="0.2">
      <c r="C68" s="6" cm="1">
        <f t="array" aca="1" ref="C68" ca="1">IF(C67=-1,-1,
      IF(C67&lt;income_max_row, C67+1,
          IF(C67=income_max_row, income_total_row,
              IF(C67=income_total_row, "/1",
                  IF(C67="/1", expenses_header_row,
                      IF(C67&lt;expenses_max_row, C67+1,
                          IF(C67=expenses_max_row, expenses_total_row,
                              IF(C67=expenses_total_row, "/2",
                                  IF(C67="/2", savings_header_row,
                                      IF(C67&lt;savings_max_row, C67+1,
                                          IF(C67=savings_max_row, savings_total_row, -1)))))))))))</f>
        <v>-1</v>
      </c>
      <c r="D68" s="7">
        <f t="shared" ca="1" si="0"/>
        <v>-1</v>
      </c>
      <c r="E68" s="6" cm="1">
        <f t="array" aca="1" ref="E68" ca="1">1*OR(row_id=income_header_row, row_id=expenses_header_row, row_id=savings_header_row)</f>
        <v>0</v>
      </c>
      <c r="F68">
        <f t="shared" ca="1" si="1"/>
        <v>0</v>
      </c>
      <c r="G68" cm="1">
        <f t="array" aca="1" ref="G68" ca="1">1*OR(row_id=income_total_row, row_id=expenses_total_row, row_id=savings_total_row)</f>
        <v>0</v>
      </c>
      <c r="H68" s="7">
        <f t="shared" ca="1" si="2"/>
        <v>1</v>
      </c>
      <c r="I68" s="6" t="str" cm="1">
        <f t="array" aca="1" ref="I68" ca="1">IFERROR(INDEX('Budget Planning'!$C:$C, header_row_id),"")</f>
        <v/>
      </c>
      <c r="J68" t="str" cm="1">
        <f t="array" aca="1" ref="J68" ca="1">IFERROR(INDEX('Budget Planning'!$C:$C, row_id),"")</f>
        <v/>
      </c>
      <c r="K68" s="54" t="str" cm="1">
        <f t="array" aca="1" ref="K6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8" s="55" t="str" cm="1">
        <f t="array" aca="1" ref="L68" ca="1">IF(OR(is_header, is_empty), "",
      INDEX('Budget Planning'!$E:$EM, row_id,
                  MATCH(IF(selected_period="Total Year", selected_year, DATE(selected_year, selected_period, 1)), 'Budget Planning'!$E$9:$EM$9, 0)  ))</f>
        <v/>
      </c>
      <c r="M68" s="6" t="str" cm="1">
        <f t="array" aca="1" ref="M68" ca="1">IF(is_cat,
       IF(header_row_id=income_header_row, MATCH(income_min_row, $C:$C, 0),
           IF(header_row_id=expenses_header_row, MATCH(expenses_min_row, $C:$C, 0),
               IF(header_row_id=savings_header_row, MATCH(savings_min_row, $C:$C, 0),""))), "")</f>
        <v/>
      </c>
      <c r="N68" s="7" t="str" cm="1">
        <f t="array" aca="1" ref="N68" ca="1">IF(is_cat,
       IF(header_row_id=income_header_row, MATCH(income_max_row, $C:$C, 0),
           IF(header_row_id=expenses_header_row, MATCH(expenses_max_row, $C:$C, 0),
               IF(header_row_id=savings_header_row, MATCH(savings_max_row, $C:$C, 0),""))), "")</f>
        <v/>
      </c>
      <c r="O68" s="6" t="str">
        <f t="shared" ca="1" si="3"/>
        <v/>
      </c>
      <c r="P68" t="str">
        <f t="shared" ca="1" si="4"/>
        <v/>
      </c>
      <c r="Q68" t="str">
        <f t="shared" ca="1" si="5"/>
        <v/>
      </c>
      <c r="R68" s="7" t="str">
        <f t="shared" ca="1" si="6"/>
        <v/>
      </c>
      <c r="S68" s="6" t="str">
        <f ca="1">IF(is_cat, _xlfn.NUMBERVALUE( tracked_rank &amp; IF(LEN(budget_rank)=1, "0", "") &amp; budget_rank), "")</f>
        <v/>
      </c>
      <c r="T68" t="str">
        <f t="shared" ca="1" si="7"/>
        <v/>
      </c>
      <c r="U68" t="str">
        <f t="shared" ca="1" si="8"/>
        <v/>
      </c>
      <c r="V68" t="str">
        <f t="shared" ca="1" si="9"/>
        <v/>
      </c>
      <c r="W68" s="7" t="str">
        <f t="shared" ca="1" si="10"/>
        <v/>
      </c>
      <c r="X68" s="57">
        <f t="shared" ca="1" si="11"/>
        <v>-1</v>
      </c>
      <c r="Y68" s="58" t="str">
        <f t="shared" ca="1" si="12"/>
        <v/>
      </c>
      <c r="Z68" s="60" t="str">
        <f t="shared" ca="1" si="13"/>
        <v/>
      </c>
      <c r="AA68" s="60" t="str">
        <f t="shared" ca="1" si="14"/>
        <v/>
      </c>
      <c r="AB68" s="59" t="str">
        <f t="shared" ca="1" si="15"/>
        <v/>
      </c>
      <c r="AC68" s="60" t="str">
        <f t="shared" ca="1" si="16"/>
        <v/>
      </c>
      <c r="AD68" s="60" t="str">
        <f t="shared" ca="1" si="17"/>
        <v/>
      </c>
    </row>
    <row r="69" spans="3:30" x14ac:dyDescent="0.2">
      <c r="C69" s="6" cm="1">
        <f t="array" aca="1" ref="C69" ca="1">IF(C68=-1,-1,
      IF(C68&lt;income_max_row, C68+1,
          IF(C68=income_max_row, income_total_row,
              IF(C68=income_total_row, "/1",
                  IF(C68="/1", expenses_header_row,
                      IF(C68&lt;expenses_max_row, C68+1,
                          IF(C68=expenses_max_row, expenses_total_row,
                              IF(C68=expenses_total_row, "/2",
                                  IF(C68="/2", savings_header_row,
                                      IF(C68&lt;savings_max_row, C68+1,
                                          IF(C68=savings_max_row, savings_total_row, -1)))))))))))</f>
        <v>-1</v>
      </c>
      <c r="D69" s="7">
        <f t="shared" ca="1" si="0"/>
        <v>-1</v>
      </c>
      <c r="E69" s="6" cm="1">
        <f t="array" aca="1" ref="E69" ca="1">1*OR(row_id=income_header_row, row_id=expenses_header_row, row_id=savings_header_row)</f>
        <v>0</v>
      </c>
      <c r="F69">
        <f t="shared" ca="1" si="1"/>
        <v>0</v>
      </c>
      <c r="G69" cm="1">
        <f t="array" aca="1" ref="G69" ca="1">1*OR(row_id=income_total_row, row_id=expenses_total_row, row_id=savings_total_row)</f>
        <v>0</v>
      </c>
      <c r="H69" s="7">
        <f t="shared" ca="1" si="2"/>
        <v>1</v>
      </c>
      <c r="I69" s="6" t="str" cm="1">
        <f t="array" aca="1" ref="I69" ca="1">IFERROR(INDEX('Budget Planning'!$C:$C, header_row_id),"")</f>
        <v/>
      </c>
      <c r="J69" t="str" cm="1">
        <f t="array" aca="1" ref="J69" ca="1">IFERROR(INDEX('Budget Planning'!$C:$C, row_id),"")</f>
        <v/>
      </c>
      <c r="K69" s="54" t="str" cm="1">
        <f t="array" aca="1" ref="K6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9" s="55" t="str" cm="1">
        <f t="array" aca="1" ref="L69" ca="1">IF(OR(is_header, is_empty), "",
      INDEX('Budget Planning'!$E:$EM, row_id,
                  MATCH(IF(selected_period="Total Year", selected_year, DATE(selected_year, selected_period, 1)), 'Budget Planning'!$E$9:$EM$9, 0)  ))</f>
        <v/>
      </c>
      <c r="M69" s="6" t="str" cm="1">
        <f t="array" aca="1" ref="M69" ca="1">IF(is_cat,
       IF(header_row_id=income_header_row, MATCH(income_min_row, $C:$C, 0),
           IF(header_row_id=expenses_header_row, MATCH(expenses_min_row, $C:$C, 0),
               IF(header_row_id=savings_header_row, MATCH(savings_min_row, $C:$C, 0),""))), "")</f>
        <v/>
      </c>
      <c r="N69" s="7" t="str" cm="1">
        <f t="array" aca="1" ref="N69" ca="1">IF(is_cat,
       IF(header_row_id=income_header_row, MATCH(income_max_row, $C:$C, 0),
           IF(header_row_id=expenses_header_row, MATCH(expenses_max_row, $C:$C, 0),
               IF(header_row_id=savings_header_row, MATCH(savings_max_row, $C:$C, 0),""))), "")</f>
        <v/>
      </c>
      <c r="O69" s="6" t="str">
        <f t="shared" ca="1" si="3"/>
        <v/>
      </c>
      <c r="P69" t="str">
        <f t="shared" ca="1" si="4"/>
        <v/>
      </c>
      <c r="Q69" t="str">
        <f t="shared" ca="1" si="5"/>
        <v/>
      </c>
      <c r="R69" s="7" t="str">
        <f t="shared" ca="1" si="6"/>
        <v/>
      </c>
      <c r="S69" s="6" t="str">
        <f ca="1">IF(is_cat, _xlfn.NUMBERVALUE( tracked_rank &amp; IF(LEN(budget_rank)=1, "0", "") &amp; budget_rank), "")</f>
        <v/>
      </c>
      <c r="T69" t="str">
        <f t="shared" ca="1" si="7"/>
        <v/>
      </c>
      <c r="U69" t="str">
        <f t="shared" ca="1" si="8"/>
        <v/>
      </c>
      <c r="V69" t="str">
        <f t="shared" ca="1" si="9"/>
        <v/>
      </c>
      <c r="W69" s="7" t="str">
        <f t="shared" ca="1" si="10"/>
        <v/>
      </c>
      <c r="X69" s="57">
        <f t="shared" ca="1" si="11"/>
        <v>-1</v>
      </c>
      <c r="Y69" s="58" t="str">
        <f t="shared" ca="1" si="12"/>
        <v/>
      </c>
      <c r="Z69" s="60" t="str">
        <f t="shared" ca="1" si="13"/>
        <v/>
      </c>
      <c r="AA69" s="60" t="str">
        <f t="shared" ca="1" si="14"/>
        <v/>
      </c>
      <c r="AB69" s="59" t="str">
        <f t="shared" ca="1" si="15"/>
        <v/>
      </c>
      <c r="AC69" s="60" t="str">
        <f t="shared" ca="1" si="16"/>
        <v/>
      </c>
      <c r="AD69" s="60" t="str">
        <f t="shared" ca="1" si="17"/>
        <v/>
      </c>
    </row>
    <row r="70" spans="3:30" x14ac:dyDescent="0.2">
      <c r="C70" s="6" cm="1">
        <f t="array" aca="1" ref="C70" ca="1">IF(C69=-1,-1,
      IF(C69&lt;income_max_row, C69+1,
          IF(C69=income_max_row, income_total_row,
              IF(C69=income_total_row, "/1",
                  IF(C69="/1", expenses_header_row,
                      IF(C69&lt;expenses_max_row, C69+1,
                          IF(C69=expenses_max_row, expenses_total_row,
                              IF(C69=expenses_total_row, "/2",
                                  IF(C69="/2", savings_header_row,
                                      IF(C69&lt;savings_max_row, C69+1,
                                          IF(C69=savings_max_row, savings_total_row, -1)))))))))))</f>
        <v>-1</v>
      </c>
      <c r="D70" s="7">
        <f t="shared" ca="1" si="0"/>
        <v>-1</v>
      </c>
      <c r="E70" s="6" cm="1">
        <f t="array" aca="1" ref="E70" ca="1">1*OR(row_id=income_header_row, row_id=expenses_header_row, row_id=savings_header_row)</f>
        <v>0</v>
      </c>
      <c r="F70">
        <f t="shared" ca="1" si="1"/>
        <v>0</v>
      </c>
      <c r="G70" cm="1">
        <f t="array" aca="1" ref="G70" ca="1">1*OR(row_id=income_total_row, row_id=expenses_total_row, row_id=savings_total_row)</f>
        <v>0</v>
      </c>
      <c r="H70" s="7">
        <f t="shared" ca="1" si="2"/>
        <v>1</v>
      </c>
      <c r="I70" s="6" t="str" cm="1">
        <f t="array" aca="1" ref="I70" ca="1">IFERROR(INDEX('Budget Planning'!$C:$C, header_row_id),"")</f>
        <v/>
      </c>
      <c r="J70" t="str" cm="1">
        <f t="array" aca="1" ref="J70" ca="1">IFERROR(INDEX('Budget Planning'!$C:$C, row_id),"")</f>
        <v/>
      </c>
      <c r="K70" s="54" t="str" cm="1">
        <f t="array" aca="1" ref="K7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0" s="55" t="str" cm="1">
        <f t="array" aca="1" ref="L70" ca="1">IF(OR(is_header, is_empty), "",
      INDEX('Budget Planning'!$E:$EM, row_id,
                  MATCH(IF(selected_period="Total Year", selected_year, DATE(selected_year, selected_period, 1)), 'Budget Planning'!$E$9:$EM$9, 0)  ))</f>
        <v/>
      </c>
      <c r="M70" s="6" t="str" cm="1">
        <f t="array" aca="1" ref="M70" ca="1">IF(is_cat,
       IF(header_row_id=income_header_row, MATCH(income_min_row, $C:$C, 0),
           IF(header_row_id=expenses_header_row, MATCH(expenses_min_row, $C:$C, 0),
               IF(header_row_id=savings_header_row, MATCH(savings_min_row, $C:$C, 0),""))), "")</f>
        <v/>
      </c>
      <c r="N70" s="7" t="str" cm="1">
        <f t="array" aca="1" ref="N70" ca="1">IF(is_cat,
       IF(header_row_id=income_header_row, MATCH(income_max_row, $C:$C, 0),
           IF(header_row_id=expenses_header_row, MATCH(expenses_max_row, $C:$C, 0),
               IF(header_row_id=savings_header_row, MATCH(savings_max_row, $C:$C, 0),""))), "")</f>
        <v/>
      </c>
      <c r="O70" s="6" t="str">
        <f t="shared" ca="1" si="3"/>
        <v/>
      </c>
      <c r="P70" t="str">
        <f t="shared" ca="1" si="4"/>
        <v/>
      </c>
      <c r="Q70" t="str">
        <f t="shared" ca="1" si="5"/>
        <v/>
      </c>
      <c r="R70" s="7" t="str">
        <f t="shared" ca="1" si="6"/>
        <v/>
      </c>
      <c r="S70" s="6" t="str">
        <f ca="1">IF(is_cat, _xlfn.NUMBERVALUE( tracked_rank &amp; IF(LEN(budget_rank)=1, "0", "") &amp; budget_rank), "")</f>
        <v/>
      </c>
      <c r="T70" t="str">
        <f t="shared" ca="1" si="7"/>
        <v/>
      </c>
      <c r="U70" t="str">
        <f t="shared" ca="1" si="8"/>
        <v/>
      </c>
      <c r="V70" t="str">
        <f t="shared" ca="1" si="9"/>
        <v/>
      </c>
      <c r="W70" s="7" t="str">
        <f t="shared" ca="1" si="10"/>
        <v/>
      </c>
      <c r="X70" s="57">
        <f t="shared" ca="1" si="11"/>
        <v>-1</v>
      </c>
      <c r="Y70" s="58" t="str">
        <f t="shared" ca="1" si="12"/>
        <v/>
      </c>
      <c r="Z70" s="60" t="str">
        <f t="shared" ca="1" si="13"/>
        <v/>
      </c>
      <c r="AA70" s="60" t="str">
        <f t="shared" ca="1" si="14"/>
        <v/>
      </c>
      <c r="AB70" s="59" t="str">
        <f t="shared" ca="1" si="15"/>
        <v/>
      </c>
      <c r="AC70" s="60" t="str">
        <f t="shared" ca="1" si="16"/>
        <v/>
      </c>
      <c r="AD70" s="60" t="str">
        <f t="shared" ca="1" si="17"/>
        <v/>
      </c>
    </row>
    <row r="71" spans="3:30" x14ac:dyDescent="0.2">
      <c r="C71" s="6" cm="1">
        <f t="array" aca="1" ref="C71" ca="1">IF(C70=-1,-1,
      IF(C70&lt;income_max_row, C70+1,
          IF(C70=income_max_row, income_total_row,
              IF(C70=income_total_row, "/1",
                  IF(C70="/1", expenses_header_row,
                      IF(C70&lt;expenses_max_row, C70+1,
                          IF(C70=expenses_max_row, expenses_total_row,
                              IF(C70=expenses_total_row, "/2",
                                  IF(C70="/2", savings_header_row,
                                      IF(C70&lt;savings_max_row, C70+1,
                                          IF(C70=savings_max_row, savings_total_row, -1)))))))))))</f>
        <v>-1</v>
      </c>
      <c r="D71" s="7">
        <f t="shared" ca="1" si="0"/>
        <v>-1</v>
      </c>
      <c r="E71" s="6" cm="1">
        <f t="array" aca="1" ref="E71" ca="1">1*OR(row_id=income_header_row, row_id=expenses_header_row, row_id=savings_header_row)</f>
        <v>0</v>
      </c>
      <c r="F71">
        <f t="shared" ca="1" si="1"/>
        <v>0</v>
      </c>
      <c r="G71" cm="1">
        <f t="array" aca="1" ref="G71" ca="1">1*OR(row_id=income_total_row, row_id=expenses_total_row, row_id=savings_total_row)</f>
        <v>0</v>
      </c>
      <c r="H71" s="7">
        <f t="shared" ca="1" si="2"/>
        <v>1</v>
      </c>
      <c r="I71" s="6" t="str" cm="1">
        <f t="array" aca="1" ref="I71" ca="1">IFERROR(INDEX('Budget Planning'!$C:$C, header_row_id),"")</f>
        <v/>
      </c>
      <c r="J71" t="str" cm="1">
        <f t="array" aca="1" ref="J71" ca="1">IFERROR(INDEX('Budget Planning'!$C:$C, row_id),"")</f>
        <v/>
      </c>
      <c r="K71" s="54" t="str" cm="1">
        <f t="array" aca="1" ref="K7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1" s="55" t="str" cm="1">
        <f t="array" aca="1" ref="L71" ca="1">IF(OR(is_header, is_empty), "",
      INDEX('Budget Planning'!$E:$EM, row_id,
                  MATCH(IF(selected_period="Total Year", selected_year, DATE(selected_year, selected_period, 1)), 'Budget Planning'!$E$9:$EM$9, 0)  ))</f>
        <v/>
      </c>
      <c r="M71" s="6" t="str" cm="1">
        <f t="array" aca="1" ref="M71" ca="1">IF(is_cat,
       IF(header_row_id=income_header_row, MATCH(income_min_row, $C:$C, 0),
           IF(header_row_id=expenses_header_row, MATCH(expenses_min_row, $C:$C, 0),
               IF(header_row_id=savings_header_row, MATCH(savings_min_row, $C:$C, 0),""))), "")</f>
        <v/>
      </c>
      <c r="N71" s="7" t="str" cm="1">
        <f t="array" aca="1" ref="N71" ca="1">IF(is_cat,
       IF(header_row_id=income_header_row, MATCH(income_max_row, $C:$C, 0),
           IF(header_row_id=expenses_header_row, MATCH(expenses_max_row, $C:$C, 0),
               IF(header_row_id=savings_header_row, MATCH(savings_max_row, $C:$C, 0),""))), "")</f>
        <v/>
      </c>
      <c r="O71" s="6" t="str">
        <f t="shared" ca="1" si="3"/>
        <v/>
      </c>
      <c r="P71" t="str">
        <f t="shared" ca="1" si="4"/>
        <v/>
      </c>
      <c r="Q71" t="str">
        <f t="shared" ca="1" si="5"/>
        <v/>
      </c>
      <c r="R71" s="7" t="str">
        <f t="shared" ca="1" si="6"/>
        <v/>
      </c>
      <c r="S71" s="6" t="str">
        <f ca="1">IF(is_cat, _xlfn.NUMBERVALUE( tracked_rank &amp; IF(LEN(budget_rank)=1, "0", "") &amp; budget_rank), "")</f>
        <v/>
      </c>
      <c r="T71" t="str">
        <f t="shared" ca="1" si="7"/>
        <v/>
      </c>
      <c r="U71" t="str">
        <f t="shared" ca="1" si="8"/>
        <v/>
      </c>
      <c r="V71" t="str">
        <f t="shared" ca="1" si="9"/>
        <v/>
      </c>
      <c r="W71" s="7" t="str">
        <f t="shared" ca="1" si="10"/>
        <v/>
      </c>
      <c r="X71" s="57">
        <f t="shared" ca="1" si="11"/>
        <v>-1</v>
      </c>
      <c r="Y71" s="58" t="str">
        <f t="shared" ca="1" si="12"/>
        <v/>
      </c>
      <c r="Z71" s="60" t="str">
        <f t="shared" ca="1" si="13"/>
        <v/>
      </c>
      <c r="AA71" s="60" t="str">
        <f t="shared" ca="1" si="14"/>
        <v/>
      </c>
      <c r="AB71" s="59" t="str">
        <f t="shared" ca="1" si="15"/>
        <v/>
      </c>
      <c r="AC71" s="60" t="str">
        <f t="shared" ca="1" si="16"/>
        <v/>
      </c>
      <c r="AD71" s="60" t="str">
        <f t="shared" ca="1" si="17"/>
        <v/>
      </c>
    </row>
    <row r="72" spans="3:30" x14ac:dyDescent="0.2">
      <c r="C72" s="6" cm="1">
        <f t="array" aca="1" ref="C72" ca="1">IF(C71=-1,-1,
      IF(C71&lt;income_max_row, C71+1,
          IF(C71=income_max_row, income_total_row,
              IF(C71=income_total_row, "/1",
                  IF(C71="/1", expenses_header_row,
                      IF(C71&lt;expenses_max_row, C71+1,
                          IF(C71=expenses_max_row, expenses_total_row,
                              IF(C71=expenses_total_row, "/2",
                                  IF(C71="/2", savings_header_row,
                                      IF(C71&lt;savings_max_row, C71+1,
                                          IF(C71=savings_max_row, savings_total_row, -1)))))))))))</f>
        <v>-1</v>
      </c>
      <c r="D72" s="7">
        <f t="shared" ca="1" si="0"/>
        <v>-1</v>
      </c>
      <c r="E72" s="6" cm="1">
        <f t="array" aca="1" ref="E72" ca="1">1*OR(row_id=income_header_row, row_id=expenses_header_row, row_id=savings_header_row)</f>
        <v>0</v>
      </c>
      <c r="F72">
        <f t="shared" ca="1" si="1"/>
        <v>0</v>
      </c>
      <c r="G72" cm="1">
        <f t="array" aca="1" ref="G72" ca="1">1*OR(row_id=income_total_row, row_id=expenses_total_row, row_id=savings_total_row)</f>
        <v>0</v>
      </c>
      <c r="H72" s="7">
        <f t="shared" ca="1" si="2"/>
        <v>1</v>
      </c>
      <c r="I72" s="6" t="str" cm="1">
        <f t="array" aca="1" ref="I72" ca="1">IFERROR(INDEX('Budget Planning'!$C:$C, header_row_id),"")</f>
        <v/>
      </c>
      <c r="J72" t="str" cm="1">
        <f t="array" aca="1" ref="J72" ca="1">IFERROR(INDEX('Budget Planning'!$C:$C, row_id),"")</f>
        <v/>
      </c>
      <c r="K72" s="54" t="str" cm="1">
        <f t="array" aca="1" ref="K7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2" s="55" t="str" cm="1">
        <f t="array" aca="1" ref="L72" ca="1">IF(OR(is_header, is_empty), "",
      INDEX('Budget Planning'!$E:$EM, row_id,
                  MATCH(IF(selected_period="Total Year", selected_year, DATE(selected_year, selected_period, 1)), 'Budget Planning'!$E$9:$EM$9, 0)  ))</f>
        <v/>
      </c>
      <c r="M72" s="6" t="str" cm="1">
        <f t="array" aca="1" ref="M72" ca="1">IF(is_cat,
       IF(header_row_id=income_header_row, MATCH(income_min_row, $C:$C, 0),
           IF(header_row_id=expenses_header_row, MATCH(expenses_min_row, $C:$C, 0),
               IF(header_row_id=savings_header_row, MATCH(savings_min_row, $C:$C, 0),""))), "")</f>
        <v/>
      </c>
      <c r="N72" s="7" t="str" cm="1">
        <f t="array" aca="1" ref="N72" ca="1">IF(is_cat,
       IF(header_row_id=income_header_row, MATCH(income_max_row, $C:$C, 0),
           IF(header_row_id=expenses_header_row, MATCH(expenses_max_row, $C:$C, 0),
               IF(header_row_id=savings_header_row, MATCH(savings_max_row, $C:$C, 0),""))), "")</f>
        <v/>
      </c>
      <c r="O72" s="6" t="str">
        <f t="shared" ca="1" si="3"/>
        <v/>
      </c>
      <c r="P72" t="str">
        <f t="shared" ca="1" si="4"/>
        <v/>
      </c>
      <c r="Q72" t="str">
        <f t="shared" ca="1" si="5"/>
        <v/>
      </c>
      <c r="R72" s="7" t="str">
        <f t="shared" ca="1" si="6"/>
        <v/>
      </c>
      <c r="S72" s="6" t="str">
        <f ca="1">IF(is_cat, _xlfn.NUMBERVALUE( tracked_rank &amp; IF(LEN(budget_rank)=1, "0", "") &amp; budget_rank), "")</f>
        <v/>
      </c>
      <c r="T72" t="str">
        <f t="shared" ca="1" si="7"/>
        <v/>
      </c>
      <c r="U72" t="str">
        <f t="shared" ca="1" si="8"/>
        <v/>
      </c>
      <c r="V72" t="str">
        <f t="shared" ca="1" si="9"/>
        <v/>
      </c>
      <c r="W72" s="7" t="str">
        <f t="shared" ca="1" si="10"/>
        <v/>
      </c>
      <c r="X72" s="57">
        <f t="shared" ca="1" si="11"/>
        <v>-1</v>
      </c>
      <c r="Y72" s="58" t="str">
        <f t="shared" ca="1" si="12"/>
        <v/>
      </c>
      <c r="Z72" s="60" t="str">
        <f t="shared" ca="1" si="13"/>
        <v/>
      </c>
      <c r="AA72" s="60" t="str">
        <f t="shared" ca="1" si="14"/>
        <v/>
      </c>
      <c r="AB72" s="59" t="str">
        <f t="shared" ca="1" si="15"/>
        <v/>
      </c>
      <c r="AC72" s="60" t="str">
        <f t="shared" ca="1" si="16"/>
        <v/>
      </c>
      <c r="AD72" s="60" t="str">
        <f t="shared" ca="1" si="17"/>
        <v/>
      </c>
    </row>
    <row r="73" spans="3:30" x14ac:dyDescent="0.2">
      <c r="C73" s="6" cm="1">
        <f t="array" aca="1" ref="C73" ca="1">IF(C72=-1,-1,
      IF(C72&lt;income_max_row, C72+1,
          IF(C72=income_max_row, income_total_row,
              IF(C72=income_total_row, "/1",
                  IF(C72="/1", expenses_header_row,
                      IF(C72&lt;expenses_max_row, C72+1,
                          IF(C72=expenses_max_row, expenses_total_row,
                              IF(C72=expenses_total_row, "/2",
                                  IF(C72="/2", savings_header_row,
                                      IF(C72&lt;savings_max_row, C72+1,
                                          IF(C72=savings_max_row, savings_total_row, -1)))))))))))</f>
        <v>-1</v>
      </c>
      <c r="D73" s="7">
        <f t="shared" ca="1" si="0"/>
        <v>-1</v>
      </c>
      <c r="E73" s="6" cm="1">
        <f t="array" aca="1" ref="E73" ca="1">1*OR(row_id=income_header_row, row_id=expenses_header_row, row_id=savings_header_row)</f>
        <v>0</v>
      </c>
      <c r="F73">
        <f t="shared" ca="1" si="1"/>
        <v>0</v>
      </c>
      <c r="G73" cm="1">
        <f t="array" aca="1" ref="G73" ca="1">1*OR(row_id=income_total_row, row_id=expenses_total_row, row_id=savings_total_row)</f>
        <v>0</v>
      </c>
      <c r="H73" s="7">
        <f t="shared" ca="1" si="2"/>
        <v>1</v>
      </c>
      <c r="I73" s="6" t="str" cm="1">
        <f t="array" aca="1" ref="I73" ca="1">IFERROR(INDEX('Budget Planning'!$C:$C, header_row_id),"")</f>
        <v/>
      </c>
      <c r="J73" t="str" cm="1">
        <f t="array" aca="1" ref="J73" ca="1">IFERROR(INDEX('Budget Planning'!$C:$C, row_id),"")</f>
        <v/>
      </c>
      <c r="K73" s="54" t="str" cm="1">
        <f t="array" aca="1" ref="K7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3" s="55" t="str" cm="1">
        <f t="array" aca="1" ref="L73" ca="1">IF(OR(is_header, is_empty), "",
      INDEX('Budget Planning'!$E:$EM, row_id,
                  MATCH(IF(selected_period="Total Year", selected_year, DATE(selected_year, selected_period, 1)), 'Budget Planning'!$E$9:$EM$9, 0)  ))</f>
        <v/>
      </c>
      <c r="M73" s="6" t="str" cm="1">
        <f t="array" aca="1" ref="M73" ca="1">IF(is_cat,
       IF(header_row_id=income_header_row, MATCH(income_min_row, $C:$C, 0),
           IF(header_row_id=expenses_header_row, MATCH(expenses_min_row, $C:$C, 0),
               IF(header_row_id=savings_header_row, MATCH(savings_min_row, $C:$C, 0),""))), "")</f>
        <v/>
      </c>
      <c r="N73" s="7" t="str" cm="1">
        <f t="array" aca="1" ref="N73" ca="1">IF(is_cat,
       IF(header_row_id=income_header_row, MATCH(income_max_row, $C:$C, 0),
           IF(header_row_id=expenses_header_row, MATCH(expenses_max_row, $C:$C, 0),
               IF(header_row_id=savings_header_row, MATCH(savings_max_row, $C:$C, 0),""))), "")</f>
        <v/>
      </c>
      <c r="O73" s="6" t="str">
        <f t="shared" ca="1" si="3"/>
        <v/>
      </c>
      <c r="P73" t="str">
        <f t="shared" ca="1" si="4"/>
        <v/>
      </c>
      <c r="Q73" t="str">
        <f t="shared" ca="1" si="5"/>
        <v/>
      </c>
      <c r="R73" s="7" t="str">
        <f t="shared" ca="1" si="6"/>
        <v/>
      </c>
      <c r="S73" s="6" t="str">
        <f ca="1">IF(is_cat, _xlfn.NUMBERVALUE( tracked_rank &amp; IF(LEN(budget_rank)=1, "0", "") &amp; budget_rank), "")</f>
        <v/>
      </c>
      <c r="T73" t="str">
        <f t="shared" ca="1" si="7"/>
        <v/>
      </c>
      <c r="U73" t="str">
        <f t="shared" ca="1" si="8"/>
        <v/>
      </c>
      <c r="V73" t="str">
        <f t="shared" ca="1" si="9"/>
        <v/>
      </c>
      <c r="W73" s="7" t="str">
        <f t="shared" ca="1" si="10"/>
        <v/>
      </c>
      <c r="X73" s="57">
        <f t="shared" ca="1" si="11"/>
        <v>-1</v>
      </c>
      <c r="Y73" s="58" t="str">
        <f t="shared" ca="1" si="12"/>
        <v/>
      </c>
      <c r="Z73" s="60" t="str">
        <f t="shared" ca="1" si="13"/>
        <v/>
      </c>
      <c r="AA73" s="60" t="str">
        <f t="shared" ca="1" si="14"/>
        <v/>
      </c>
      <c r="AB73" s="59" t="str">
        <f t="shared" ca="1" si="15"/>
        <v/>
      </c>
      <c r="AC73" s="60" t="str">
        <f t="shared" ca="1" si="16"/>
        <v/>
      </c>
      <c r="AD73" s="60" t="str">
        <f t="shared" ca="1" si="17"/>
        <v/>
      </c>
    </row>
    <row r="74" spans="3:30" x14ac:dyDescent="0.2">
      <c r="C74" s="6" cm="1">
        <f t="array" aca="1" ref="C74" ca="1">IF(C73=-1,-1,
      IF(C73&lt;income_max_row, C73+1,
          IF(C73=income_max_row, income_total_row,
              IF(C73=income_total_row, "/1",
                  IF(C73="/1", expenses_header_row,
                      IF(C73&lt;expenses_max_row, C73+1,
                          IF(C73=expenses_max_row, expenses_total_row,
                              IF(C73=expenses_total_row, "/2",
                                  IF(C73="/2", savings_header_row,
                                      IF(C73&lt;savings_max_row, C73+1,
                                          IF(C73=savings_max_row, savings_total_row, -1)))))))))))</f>
        <v>-1</v>
      </c>
      <c r="D74" s="7">
        <f t="shared" ca="1" si="0"/>
        <v>-1</v>
      </c>
      <c r="E74" s="6" cm="1">
        <f t="array" aca="1" ref="E74" ca="1">1*OR(row_id=income_header_row, row_id=expenses_header_row, row_id=savings_header_row)</f>
        <v>0</v>
      </c>
      <c r="F74">
        <f t="shared" ca="1" si="1"/>
        <v>0</v>
      </c>
      <c r="G74" cm="1">
        <f t="array" aca="1" ref="G74" ca="1">1*OR(row_id=income_total_row, row_id=expenses_total_row, row_id=savings_total_row)</f>
        <v>0</v>
      </c>
      <c r="H74" s="7">
        <f t="shared" ca="1" si="2"/>
        <v>1</v>
      </c>
      <c r="I74" s="6" t="str" cm="1">
        <f t="array" aca="1" ref="I74" ca="1">IFERROR(INDEX('Budget Planning'!$C:$C, header_row_id),"")</f>
        <v/>
      </c>
      <c r="J74" t="str" cm="1">
        <f t="array" aca="1" ref="J74" ca="1">IFERROR(INDEX('Budget Planning'!$C:$C, row_id),"")</f>
        <v/>
      </c>
      <c r="K74" s="54" t="str" cm="1">
        <f t="array" aca="1" ref="K7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4" s="55" t="str" cm="1">
        <f t="array" aca="1" ref="L74" ca="1">IF(OR(is_header, is_empty), "",
      INDEX('Budget Planning'!$E:$EM, row_id,
                  MATCH(IF(selected_period="Total Year", selected_year, DATE(selected_year, selected_period, 1)), 'Budget Planning'!$E$9:$EM$9, 0)  ))</f>
        <v/>
      </c>
      <c r="M74" s="6" t="str" cm="1">
        <f t="array" aca="1" ref="M74" ca="1">IF(is_cat,
       IF(header_row_id=income_header_row, MATCH(income_min_row, $C:$C, 0),
           IF(header_row_id=expenses_header_row, MATCH(expenses_min_row, $C:$C, 0),
               IF(header_row_id=savings_header_row, MATCH(savings_min_row, $C:$C, 0),""))), "")</f>
        <v/>
      </c>
      <c r="N74" s="7" t="str" cm="1">
        <f t="array" aca="1" ref="N74" ca="1">IF(is_cat,
       IF(header_row_id=income_header_row, MATCH(income_max_row, $C:$C, 0),
           IF(header_row_id=expenses_header_row, MATCH(expenses_max_row, $C:$C, 0),
               IF(header_row_id=savings_header_row, MATCH(savings_max_row, $C:$C, 0),""))), "")</f>
        <v/>
      </c>
      <c r="O74" s="6" t="str">
        <f t="shared" ca="1" si="3"/>
        <v/>
      </c>
      <c r="P74" t="str">
        <f t="shared" ca="1" si="4"/>
        <v/>
      </c>
      <c r="Q74" t="str">
        <f t="shared" ca="1" si="5"/>
        <v/>
      </c>
      <c r="R74" s="7" t="str">
        <f t="shared" ca="1" si="6"/>
        <v/>
      </c>
      <c r="S74" s="6" t="str">
        <f ca="1">IF(is_cat, _xlfn.NUMBERVALUE( tracked_rank &amp; IF(LEN(budget_rank)=1, "0", "") &amp; budget_rank), "")</f>
        <v/>
      </c>
      <c r="T74" t="str">
        <f t="shared" ca="1" si="7"/>
        <v/>
      </c>
      <c r="U74" t="str">
        <f t="shared" ca="1" si="8"/>
        <v/>
      </c>
      <c r="V74" t="str">
        <f t="shared" ca="1" si="9"/>
        <v/>
      </c>
      <c r="W74" s="7" t="str">
        <f t="shared" ca="1" si="10"/>
        <v/>
      </c>
      <c r="X74" s="57">
        <f t="shared" ca="1" si="11"/>
        <v>-1</v>
      </c>
      <c r="Y74" s="58" t="str">
        <f t="shared" ca="1" si="12"/>
        <v/>
      </c>
      <c r="Z74" s="60" t="str">
        <f t="shared" ca="1" si="13"/>
        <v/>
      </c>
      <c r="AA74" s="60" t="str">
        <f t="shared" ca="1" si="14"/>
        <v/>
      </c>
      <c r="AB74" s="59" t="str">
        <f t="shared" ca="1" si="15"/>
        <v/>
      </c>
      <c r="AC74" s="60" t="str">
        <f t="shared" ca="1" si="16"/>
        <v/>
      </c>
      <c r="AD74" s="60" t="str">
        <f t="shared" ca="1" si="17"/>
        <v/>
      </c>
    </row>
    <row r="75" spans="3:30" x14ac:dyDescent="0.2">
      <c r="C75" s="6" cm="1">
        <f t="array" aca="1" ref="C75" ca="1">IF(C74=-1,-1,
      IF(C74&lt;income_max_row, C74+1,
          IF(C74=income_max_row, income_total_row,
              IF(C74=income_total_row, "/1",
                  IF(C74="/1", expenses_header_row,
                      IF(C74&lt;expenses_max_row, C74+1,
                          IF(C74=expenses_max_row, expenses_total_row,
                              IF(C74=expenses_total_row, "/2",
                                  IF(C74="/2", savings_header_row,
                                      IF(C74&lt;savings_max_row, C74+1,
                                          IF(C74=savings_max_row, savings_total_row, -1)))))))))))</f>
        <v>-1</v>
      </c>
      <c r="D75" s="7">
        <f t="shared" ca="1" si="0"/>
        <v>-1</v>
      </c>
      <c r="E75" s="6" cm="1">
        <f t="array" aca="1" ref="E75" ca="1">1*OR(row_id=income_header_row, row_id=expenses_header_row, row_id=savings_header_row)</f>
        <v>0</v>
      </c>
      <c r="F75">
        <f t="shared" ca="1" si="1"/>
        <v>0</v>
      </c>
      <c r="G75" cm="1">
        <f t="array" aca="1" ref="G75" ca="1">1*OR(row_id=income_total_row, row_id=expenses_total_row, row_id=savings_total_row)</f>
        <v>0</v>
      </c>
      <c r="H75" s="7">
        <f t="shared" ca="1" si="2"/>
        <v>1</v>
      </c>
      <c r="I75" s="6" t="str" cm="1">
        <f t="array" aca="1" ref="I75" ca="1">IFERROR(INDEX('Budget Planning'!$C:$C, header_row_id),"")</f>
        <v/>
      </c>
      <c r="J75" t="str" cm="1">
        <f t="array" aca="1" ref="J75" ca="1">IFERROR(INDEX('Budget Planning'!$C:$C, row_id),"")</f>
        <v/>
      </c>
      <c r="K75" s="54" t="str" cm="1">
        <f t="array" aca="1" ref="K7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5" s="55" t="str" cm="1">
        <f t="array" aca="1" ref="L75" ca="1">IF(OR(is_header, is_empty), "",
      INDEX('Budget Planning'!$E:$EM, row_id,
                  MATCH(IF(selected_period="Total Year", selected_year, DATE(selected_year, selected_period, 1)), 'Budget Planning'!$E$9:$EM$9, 0)  ))</f>
        <v/>
      </c>
      <c r="M75" s="6" t="str" cm="1">
        <f t="array" aca="1" ref="M75" ca="1">IF(is_cat,
       IF(header_row_id=income_header_row, MATCH(income_min_row, $C:$C, 0),
           IF(header_row_id=expenses_header_row, MATCH(expenses_min_row, $C:$C, 0),
               IF(header_row_id=savings_header_row, MATCH(savings_min_row, $C:$C, 0),""))), "")</f>
        <v/>
      </c>
      <c r="N75" s="7" t="str" cm="1">
        <f t="array" aca="1" ref="N75" ca="1">IF(is_cat,
       IF(header_row_id=income_header_row, MATCH(income_max_row, $C:$C, 0),
           IF(header_row_id=expenses_header_row, MATCH(expenses_max_row, $C:$C, 0),
               IF(header_row_id=savings_header_row, MATCH(savings_max_row, $C:$C, 0),""))), "")</f>
        <v/>
      </c>
      <c r="O75" s="6" t="str">
        <f t="shared" ca="1" si="3"/>
        <v/>
      </c>
      <c r="P75" t="str">
        <f t="shared" ca="1" si="4"/>
        <v/>
      </c>
      <c r="Q75" t="str">
        <f t="shared" ca="1" si="5"/>
        <v/>
      </c>
      <c r="R75" s="7" t="str">
        <f t="shared" ca="1" si="6"/>
        <v/>
      </c>
      <c r="S75" s="6" t="str">
        <f ca="1">IF(is_cat, _xlfn.NUMBERVALUE( tracked_rank &amp; IF(LEN(budget_rank)=1, "0", "") &amp; budget_rank), "")</f>
        <v/>
      </c>
      <c r="T75" t="str">
        <f t="shared" ca="1" si="7"/>
        <v/>
      </c>
      <c r="U75" t="str">
        <f t="shared" ca="1" si="8"/>
        <v/>
      </c>
      <c r="V75" t="str">
        <f t="shared" ca="1" si="9"/>
        <v/>
      </c>
      <c r="W75" s="7" t="str">
        <f t="shared" ca="1" si="10"/>
        <v/>
      </c>
      <c r="X75" s="57">
        <f t="shared" ca="1" si="11"/>
        <v>-1</v>
      </c>
      <c r="Y75" s="58" t="str">
        <f t="shared" ca="1" si="12"/>
        <v/>
      </c>
      <c r="Z75" s="60" t="str">
        <f t="shared" ca="1" si="13"/>
        <v/>
      </c>
      <c r="AA75" s="60" t="str">
        <f t="shared" ca="1" si="14"/>
        <v/>
      </c>
      <c r="AB75" s="59" t="str">
        <f t="shared" ca="1" si="15"/>
        <v/>
      </c>
      <c r="AC75" s="60" t="str">
        <f t="shared" ca="1" si="16"/>
        <v/>
      </c>
      <c r="AD75" s="60" t="str">
        <f t="shared" ca="1" si="17"/>
        <v/>
      </c>
    </row>
    <row r="76" spans="3:30" x14ac:dyDescent="0.2">
      <c r="C76" s="6" cm="1">
        <f t="array" aca="1" ref="C76" ca="1">IF(C75=-1,-1,
      IF(C75&lt;income_max_row, C75+1,
          IF(C75=income_max_row, income_total_row,
              IF(C75=income_total_row, "/1",
                  IF(C75="/1", expenses_header_row,
                      IF(C75&lt;expenses_max_row, C75+1,
                          IF(C75=expenses_max_row, expenses_total_row,
                              IF(C75=expenses_total_row, "/2",
                                  IF(C75="/2", savings_header_row,
                                      IF(C75&lt;savings_max_row, C75+1,
                                          IF(C75=savings_max_row, savings_total_row, -1)))))))))))</f>
        <v>-1</v>
      </c>
      <c r="D76" s="7">
        <f t="shared" ca="1" si="0"/>
        <v>-1</v>
      </c>
      <c r="E76" s="6" cm="1">
        <f t="array" aca="1" ref="E76" ca="1">1*OR(row_id=income_header_row, row_id=expenses_header_row, row_id=savings_header_row)</f>
        <v>0</v>
      </c>
      <c r="F76">
        <f t="shared" ca="1" si="1"/>
        <v>0</v>
      </c>
      <c r="G76" cm="1">
        <f t="array" aca="1" ref="G76" ca="1">1*OR(row_id=income_total_row, row_id=expenses_total_row, row_id=savings_total_row)</f>
        <v>0</v>
      </c>
      <c r="H76" s="7">
        <f t="shared" ca="1" si="2"/>
        <v>1</v>
      </c>
      <c r="I76" s="6" t="str" cm="1">
        <f t="array" aca="1" ref="I76" ca="1">IFERROR(INDEX('Budget Planning'!$C:$C, header_row_id),"")</f>
        <v/>
      </c>
      <c r="J76" t="str" cm="1">
        <f t="array" aca="1" ref="J76" ca="1">IFERROR(INDEX('Budget Planning'!$C:$C, row_id),"")</f>
        <v/>
      </c>
      <c r="K76" s="54" t="str" cm="1">
        <f t="array" aca="1" ref="K7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6" s="55" t="str" cm="1">
        <f t="array" aca="1" ref="L76" ca="1">IF(OR(is_header, is_empty), "",
      INDEX('Budget Planning'!$E:$EM, row_id,
                  MATCH(IF(selected_period="Total Year", selected_year, DATE(selected_year, selected_period, 1)), 'Budget Planning'!$E$9:$EM$9, 0)  ))</f>
        <v/>
      </c>
      <c r="M76" s="6" t="str" cm="1">
        <f t="array" aca="1" ref="M76" ca="1">IF(is_cat,
       IF(header_row_id=income_header_row, MATCH(income_min_row, $C:$C, 0),
           IF(header_row_id=expenses_header_row, MATCH(expenses_min_row, $C:$C, 0),
               IF(header_row_id=savings_header_row, MATCH(savings_min_row, $C:$C, 0),""))), "")</f>
        <v/>
      </c>
      <c r="N76" s="7" t="str" cm="1">
        <f t="array" aca="1" ref="N76" ca="1">IF(is_cat,
       IF(header_row_id=income_header_row, MATCH(income_max_row, $C:$C, 0),
           IF(header_row_id=expenses_header_row, MATCH(expenses_max_row, $C:$C, 0),
               IF(header_row_id=savings_header_row, MATCH(savings_max_row, $C:$C, 0),""))), "")</f>
        <v/>
      </c>
      <c r="O76" s="6" t="str">
        <f t="shared" ca="1" si="3"/>
        <v/>
      </c>
      <c r="P76" t="str">
        <f t="shared" ca="1" si="4"/>
        <v/>
      </c>
      <c r="Q76" t="str">
        <f t="shared" ca="1" si="5"/>
        <v/>
      </c>
      <c r="R76" s="7" t="str">
        <f t="shared" ca="1" si="6"/>
        <v/>
      </c>
      <c r="S76" s="6" t="str">
        <f ca="1">IF(is_cat, _xlfn.NUMBERVALUE( tracked_rank &amp; IF(LEN(budget_rank)=1, "0", "") &amp; budget_rank), "")</f>
        <v/>
      </c>
      <c r="T76" t="str">
        <f t="shared" ca="1" si="7"/>
        <v/>
      </c>
      <c r="U76" t="str">
        <f t="shared" ca="1" si="8"/>
        <v/>
      </c>
      <c r="V76" t="str">
        <f t="shared" ca="1" si="9"/>
        <v/>
      </c>
      <c r="W76" s="7" t="str">
        <f t="shared" ca="1" si="10"/>
        <v/>
      </c>
      <c r="X76" s="57">
        <f t="shared" ca="1" si="11"/>
        <v>-1</v>
      </c>
      <c r="Y76" s="58" t="str">
        <f t="shared" ca="1" si="12"/>
        <v/>
      </c>
      <c r="Z76" s="60" t="str">
        <f t="shared" ca="1" si="13"/>
        <v/>
      </c>
      <c r="AA76" s="60" t="str">
        <f t="shared" ca="1" si="14"/>
        <v/>
      </c>
      <c r="AB76" s="59" t="str">
        <f t="shared" ca="1" si="15"/>
        <v/>
      </c>
      <c r="AC76" s="60" t="str">
        <f t="shared" ca="1" si="16"/>
        <v/>
      </c>
      <c r="AD76" s="60" t="str">
        <f t="shared" ca="1" si="17"/>
        <v/>
      </c>
    </row>
    <row r="77" spans="3:30" x14ac:dyDescent="0.2">
      <c r="C77" s="6" cm="1">
        <f t="array" aca="1" ref="C77" ca="1">IF(C76=-1,-1,
      IF(C76&lt;income_max_row, C76+1,
          IF(C76=income_max_row, income_total_row,
              IF(C76=income_total_row, "/1",
                  IF(C76="/1", expenses_header_row,
                      IF(C76&lt;expenses_max_row, C76+1,
                          IF(C76=expenses_max_row, expenses_total_row,
                              IF(C76=expenses_total_row, "/2",
                                  IF(C76="/2", savings_header_row,
                                      IF(C76&lt;savings_max_row, C76+1,
                                          IF(C76=savings_max_row, savings_total_row, -1)))))))))))</f>
        <v>-1</v>
      </c>
      <c r="D77" s="7">
        <f t="shared" ca="1" si="0"/>
        <v>-1</v>
      </c>
      <c r="E77" s="6" cm="1">
        <f t="array" aca="1" ref="E77" ca="1">1*OR(row_id=income_header_row, row_id=expenses_header_row, row_id=savings_header_row)</f>
        <v>0</v>
      </c>
      <c r="F77">
        <f t="shared" ca="1" si="1"/>
        <v>0</v>
      </c>
      <c r="G77" cm="1">
        <f t="array" aca="1" ref="G77" ca="1">1*OR(row_id=income_total_row, row_id=expenses_total_row, row_id=savings_total_row)</f>
        <v>0</v>
      </c>
      <c r="H77" s="7">
        <f t="shared" ca="1" si="2"/>
        <v>1</v>
      </c>
      <c r="I77" s="6" t="str" cm="1">
        <f t="array" aca="1" ref="I77" ca="1">IFERROR(INDEX('Budget Planning'!$C:$C, header_row_id),"")</f>
        <v/>
      </c>
      <c r="J77" t="str" cm="1">
        <f t="array" aca="1" ref="J77" ca="1">IFERROR(INDEX('Budget Planning'!$C:$C, row_id),"")</f>
        <v/>
      </c>
      <c r="K77" s="54" t="str" cm="1">
        <f t="array" aca="1" ref="K7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7" s="55" t="str" cm="1">
        <f t="array" aca="1" ref="L77" ca="1">IF(OR(is_header, is_empty), "",
      INDEX('Budget Planning'!$E:$EM, row_id,
                  MATCH(IF(selected_period="Total Year", selected_year, DATE(selected_year, selected_period, 1)), 'Budget Planning'!$E$9:$EM$9, 0)  ))</f>
        <v/>
      </c>
      <c r="M77" s="6" t="str" cm="1">
        <f t="array" aca="1" ref="M77" ca="1">IF(is_cat,
       IF(header_row_id=income_header_row, MATCH(income_min_row, $C:$C, 0),
           IF(header_row_id=expenses_header_row, MATCH(expenses_min_row, $C:$C, 0),
               IF(header_row_id=savings_header_row, MATCH(savings_min_row, $C:$C, 0),""))), "")</f>
        <v/>
      </c>
      <c r="N77" s="7" t="str" cm="1">
        <f t="array" aca="1" ref="N77" ca="1">IF(is_cat,
       IF(header_row_id=income_header_row, MATCH(income_max_row, $C:$C, 0),
           IF(header_row_id=expenses_header_row, MATCH(expenses_max_row, $C:$C, 0),
               IF(header_row_id=savings_header_row, MATCH(savings_max_row, $C:$C, 0),""))), "")</f>
        <v/>
      </c>
      <c r="O77" s="6" t="str">
        <f t="shared" ca="1" si="3"/>
        <v/>
      </c>
      <c r="P77" t="str">
        <f t="shared" ca="1" si="4"/>
        <v/>
      </c>
      <c r="Q77" t="str">
        <f t="shared" ca="1" si="5"/>
        <v/>
      </c>
      <c r="R77" s="7" t="str">
        <f t="shared" ca="1" si="6"/>
        <v/>
      </c>
      <c r="S77" s="6" t="str">
        <f ca="1">IF(is_cat, _xlfn.NUMBERVALUE( tracked_rank &amp; IF(LEN(budget_rank)=1, "0", "") &amp; budget_rank), "")</f>
        <v/>
      </c>
      <c r="T77" t="str">
        <f t="shared" ca="1" si="7"/>
        <v/>
      </c>
      <c r="U77" t="str">
        <f t="shared" ca="1" si="8"/>
        <v/>
      </c>
      <c r="V77" t="str">
        <f t="shared" ca="1" si="9"/>
        <v/>
      </c>
      <c r="W77" s="7" t="str">
        <f t="shared" ca="1" si="10"/>
        <v/>
      </c>
      <c r="X77" s="57">
        <f t="shared" ca="1" si="11"/>
        <v>-1</v>
      </c>
      <c r="Y77" s="58" t="str">
        <f t="shared" ca="1" si="12"/>
        <v/>
      </c>
      <c r="Z77" s="60" t="str">
        <f t="shared" ca="1" si="13"/>
        <v/>
      </c>
      <c r="AA77" s="60" t="str">
        <f t="shared" ca="1" si="14"/>
        <v/>
      </c>
      <c r="AB77" s="59" t="str">
        <f t="shared" ca="1" si="15"/>
        <v/>
      </c>
      <c r="AC77" s="60" t="str">
        <f t="shared" ca="1" si="16"/>
        <v/>
      </c>
      <c r="AD77" s="60" t="str">
        <f t="shared" ca="1" si="17"/>
        <v/>
      </c>
    </row>
    <row r="78" spans="3:30" x14ac:dyDescent="0.2">
      <c r="C78" s="6" cm="1">
        <f t="array" aca="1" ref="C78" ca="1">IF(C77=-1,-1,
      IF(C77&lt;income_max_row, C77+1,
          IF(C77=income_max_row, income_total_row,
              IF(C77=income_total_row, "/1",
                  IF(C77="/1", expenses_header_row,
                      IF(C77&lt;expenses_max_row, C77+1,
                          IF(C77=expenses_max_row, expenses_total_row,
                              IF(C77=expenses_total_row, "/2",
                                  IF(C77="/2", savings_header_row,
                                      IF(C77&lt;savings_max_row, C77+1,
                                          IF(C77=savings_max_row, savings_total_row, -1)))))))))))</f>
        <v>-1</v>
      </c>
      <c r="D78" s="7">
        <f t="shared" ca="1" si="0"/>
        <v>-1</v>
      </c>
      <c r="E78" s="6" cm="1">
        <f t="array" aca="1" ref="E78" ca="1">1*OR(row_id=income_header_row, row_id=expenses_header_row, row_id=savings_header_row)</f>
        <v>0</v>
      </c>
      <c r="F78">
        <f t="shared" ca="1" si="1"/>
        <v>0</v>
      </c>
      <c r="G78" cm="1">
        <f t="array" aca="1" ref="G78" ca="1">1*OR(row_id=income_total_row, row_id=expenses_total_row, row_id=savings_total_row)</f>
        <v>0</v>
      </c>
      <c r="H78" s="7">
        <f t="shared" ca="1" si="2"/>
        <v>1</v>
      </c>
      <c r="I78" s="6" t="str" cm="1">
        <f t="array" aca="1" ref="I78" ca="1">IFERROR(INDEX('Budget Planning'!$C:$C, header_row_id),"")</f>
        <v/>
      </c>
      <c r="J78" t="str" cm="1">
        <f t="array" aca="1" ref="J78" ca="1">IFERROR(INDEX('Budget Planning'!$C:$C, row_id),"")</f>
        <v/>
      </c>
      <c r="K78" s="54" t="str" cm="1">
        <f t="array" aca="1" ref="K7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8" s="55" t="str" cm="1">
        <f t="array" aca="1" ref="L78" ca="1">IF(OR(is_header, is_empty), "",
      INDEX('Budget Planning'!$E:$EM, row_id,
                  MATCH(IF(selected_period="Total Year", selected_year, DATE(selected_year, selected_period, 1)), 'Budget Planning'!$E$9:$EM$9, 0)  ))</f>
        <v/>
      </c>
      <c r="M78" s="6" t="str" cm="1">
        <f t="array" aca="1" ref="M78" ca="1">IF(is_cat,
       IF(header_row_id=income_header_row, MATCH(income_min_row, $C:$C, 0),
           IF(header_row_id=expenses_header_row, MATCH(expenses_min_row, $C:$C, 0),
               IF(header_row_id=savings_header_row, MATCH(savings_min_row, $C:$C, 0),""))), "")</f>
        <v/>
      </c>
      <c r="N78" s="7" t="str" cm="1">
        <f t="array" aca="1" ref="N78" ca="1">IF(is_cat,
       IF(header_row_id=income_header_row, MATCH(income_max_row, $C:$C, 0),
           IF(header_row_id=expenses_header_row, MATCH(expenses_max_row, $C:$C, 0),
               IF(header_row_id=savings_header_row, MATCH(savings_max_row, $C:$C, 0),""))), "")</f>
        <v/>
      </c>
      <c r="O78" s="6" t="str">
        <f t="shared" ca="1" si="3"/>
        <v/>
      </c>
      <c r="P78" t="str">
        <f t="shared" ca="1" si="4"/>
        <v/>
      </c>
      <c r="Q78" t="str">
        <f t="shared" ca="1" si="5"/>
        <v/>
      </c>
      <c r="R78" s="7" t="str">
        <f t="shared" ca="1" si="6"/>
        <v/>
      </c>
      <c r="S78" s="6" t="str">
        <f ca="1">IF(is_cat, _xlfn.NUMBERVALUE( tracked_rank &amp; IF(LEN(budget_rank)=1, "0", "") &amp; budget_rank), "")</f>
        <v/>
      </c>
      <c r="T78" t="str">
        <f t="shared" ca="1" si="7"/>
        <v/>
      </c>
      <c r="U78" t="str">
        <f t="shared" ca="1" si="8"/>
        <v/>
      </c>
      <c r="V78" t="str">
        <f t="shared" ca="1" si="9"/>
        <v/>
      </c>
      <c r="W78" s="7" t="str">
        <f t="shared" ca="1" si="10"/>
        <v/>
      </c>
      <c r="X78" s="57">
        <f t="shared" ca="1" si="11"/>
        <v>-1</v>
      </c>
      <c r="Y78" s="58" t="str">
        <f t="shared" ca="1" si="12"/>
        <v/>
      </c>
      <c r="Z78" s="60" t="str">
        <f t="shared" ca="1" si="13"/>
        <v/>
      </c>
      <c r="AA78" s="60" t="str">
        <f t="shared" ca="1" si="14"/>
        <v/>
      </c>
      <c r="AB78" s="59" t="str">
        <f t="shared" ca="1" si="15"/>
        <v/>
      </c>
      <c r="AC78" s="60" t="str">
        <f t="shared" ca="1" si="16"/>
        <v/>
      </c>
      <c r="AD78" s="60" t="str">
        <f t="shared" ca="1" si="17"/>
        <v/>
      </c>
    </row>
    <row r="79" spans="3:30" x14ac:dyDescent="0.2">
      <c r="C79" s="6" cm="1">
        <f t="array" aca="1" ref="C79" ca="1">IF(C78=-1,-1,
      IF(C78&lt;income_max_row, C78+1,
          IF(C78=income_max_row, income_total_row,
              IF(C78=income_total_row, "/1",
                  IF(C78="/1", expenses_header_row,
                      IF(C78&lt;expenses_max_row, C78+1,
                          IF(C78=expenses_max_row, expenses_total_row,
                              IF(C78=expenses_total_row, "/2",
                                  IF(C78="/2", savings_header_row,
                                      IF(C78&lt;savings_max_row, C78+1,
                                          IF(C78=savings_max_row, savings_total_row, -1)))))))))))</f>
        <v>-1</v>
      </c>
      <c r="D79" s="7">
        <f t="shared" ca="1" si="0"/>
        <v>-1</v>
      </c>
      <c r="E79" s="6" cm="1">
        <f t="array" aca="1" ref="E79" ca="1">1*OR(row_id=income_header_row, row_id=expenses_header_row, row_id=savings_header_row)</f>
        <v>0</v>
      </c>
      <c r="F79">
        <f t="shared" ca="1" si="1"/>
        <v>0</v>
      </c>
      <c r="G79" cm="1">
        <f t="array" aca="1" ref="G79" ca="1">1*OR(row_id=income_total_row, row_id=expenses_total_row, row_id=savings_total_row)</f>
        <v>0</v>
      </c>
      <c r="H79" s="7">
        <f t="shared" ca="1" si="2"/>
        <v>1</v>
      </c>
      <c r="I79" s="6" t="str" cm="1">
        <f t="array" aca="1" ref="I79" ca="1">IFERROR(INDEX('Budget Planning'!$C:$C, header_row_id),"")</f>
        <v/>
      </c>
      <c r="J79" t="str" cm="1">
        <f t="array" aca="1" ref="J79" ca="1">IFERROR(INDEX('Budget Planning'!$C:$C, row_id),"")</f>
        <v/>
      </c>
      <c r="K79" s="54" t="str" cm="1">
        <f t="array" aca="1" ref="K7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9" s="55" t="str" cm="1">
        <f t="array" aca="1" ref="L79" ca="1">IF(OR(is_header, is_empty), "",
      INDEX('Budget Planning'!$E:$EM, row_id,
                  MATCH(IF(selected_period="Total Year", selected_year, DATE(selected_year, selected_period, 1)), 'Budget Planning'!$E$9:$EM$9, 0)  ))</f>
        <v/>
      </c>
      <c r="M79" s="6" t="str" cm="1">
        <f t="array" aca="1" ref="M79" ca="1">IF(is_cat,
       IF(header_row_id=income_header_row, MATCH(income_min_row, $C:$C, 0),
           IF(header_row_id=expenses_header_row, MATCH(expenses_min_row, $C:$C, 0),
               IF(header_row_id=savings_header_row, MATCH(savings_min_row, $C:$C, 0),""))), "")</f>
        <v/>
      </c>
      <c r="N79" s="7" t="str" cm="1">
        <f t="array" aca="1" ref="N79" ca="1">IF(is_cat,
       IF(header_row_id=income_header_row, MATCH(income_max_row, $C:$C, 0),
           IF(header_row_id=expenses_header_row, MATCH(expenses_max_row, $C:$C, 0),
               IF(header_row_id=savings_header_row, MATCH(savings_max_row, $C:$C, 0),""))), "")</f>
        <v/>
      </c>
      <c r="O79" s="6" t="str">
        <f t="shared" ca="1" si="3"/>
        <v/>
      </c>
      <c r="P79" t="str">
        <f t="shared" ca="1" si="4"/>
        <v/>
      </c>
      <c r="Q79" t="str">
        <f t="shared" ca="1" si="5"/>
        <v/>
      </c>
      <c r="R79" s="7" t="str">
        <f t="shared" ca="1" si="6"/>
        <v/>
      </c>
      <c r="S79" s="6" t="str">
        <f ca="1">IF(is_cat, _xlfn.NUMBERVALUE( tracked_rank &amp; IF(LEN(budget_rank)=1, "0", "") &amp; budget_rank), "")</f>
        <v/>
      </c>
      <c r="T79" t="str">
        <f t="shared" ca="1" si="7"/>
        <v/>
      </c>
      <c r="U79" t="str">
        <f t="shared" ca="1" si="8"/>
        <v/>
      </c>
      <c r="V79" t="str">
        <f t="shared" ca="1" si="9"/>
        <v/>
      </c>
      <c r="W79" s="7" t="str">
        <f t="shared" ca="1" si="10"/>
        <v/>
      </c>
      <c r="X79" s="57">
        <f t="shared" ca="1" si="11"/>
        <v>-1</v>
      </c>
      <c r="Y79" s="58" t="str">
        <f t="shared" ca="1" si="12"/>
        <v/>
      </c>
      <c r="Z79" s="60" t="str">
        <f t="shared" ca="1" si="13"/>
        <v/>
      </c>
      <c r="AA79" s="60" t="str">
        <f t="shared" ca="1" si="14"/>
        <v/>
      </c>
      <c r="AB79" s="59" t="str">
        <f t="shared" ca="1" si="15"/>
        <v/>
      </c>
      <c r="AC79" s="60" t="str">
        <f t="shared" ca="1" si="16"/>
        <v/>
      </c>
      <c r="AD79" s="60" t="str">
        <f t="shared" ca="1" si="17"/>
        <v/>
      </c>
    </row>
    <row r="80" spans="3:30" x14ac:dyDescent="0.2">
      <c r="C80" s="6" cm="1">
        <f t="array" aca="1" ref="C80" ca="1">IF(C79=-1,-1,
      IF(C79&lt;income_max_row, C79+1,
          IF(C79=income_max_row, income_total_row,
              IF(C79=income_total_row, "/1",
                  IF(C79="/1", expenses_header_row,
                      IF(C79&lt;expenses_max_row, C79+1,
                          IF(C79=expenses_max_row, expenses_total_row,
                              IF(C79=expenses_total_row, "/2",
                                  IF(C79="/2", savings_header_row,
                                      IF(C79&lt;savings_max_row, C79+1,
                                          IF(C79=savings_max_row, savings_total_row, -1)))))))))))</f>
        <v>-1</v>
      </c>
      <c r="D80" s="7">
        <f t="shared" ca="1" si="0"/>
        <v>-1</v>
      </c>
      <c r="E80" s="6" cm="1">
        <f t="array" aca="1" ref="E80" ca="1">1*OR(row_id=income_header_row, row_id=expenses_header_row, row_id=savings_header_row)</f>
        <v>0</v>
      </c>
      <c r="F80">
        <f t="shared" ca="1" si="1"/>
        <v>0</v>
      </c>
      <c r="G80" cm="1">
        <f t="array" aca="1" ref="G80" ca="1">1*OR(row_id=income_total_row, row_id=expenses_total_row, row_id=savings_total_row)</f>
        <v>0</v>
      </c>
      <c r="H80" s="7">
        <f t="shared" ca="1" si="2"/>
        <v>1</v>
      </c>
      <c r="I80" s="6" t="str" cm="1">
        <f t="array" aca="1" ref="I80" ca="1">IFERROR(INDEX('Budget Planning'!$C:$C, header_row_id),"")</f>
        <v/>
      </c>
      <c r="J80" t="str" cm="1">
        <f t="array" aca="1" ref="J80" ca="1">IFERROR(INDEX('Budget Planning'!$C:$C, row_id),"")</f>
        <v/>
      </c>
      <c r="K80" s="54" t="str" cm="1">
        <f t="array" aca="1" ref="K8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0" s="55" t="str" cm="1">
        <f t="array" aca="1" ref="L80" ca="1">IF(OR(is_header, is_empty), "",
      INDEX('Budget Planning'!$E:$EM, row_id,
                  MATCH(IF(selected_period="Total Year", selected_year, DATE(selected_year, selected_period, 1)), 'Budget Planning'!$E$9:$EM$9, 0)  ))</f>
        <v/>
      </c>
      <c r="M80" s="6" t="str" cm="1">
        <f t="array" aca="1" ref="M80" ca="1">IF(is_cat,
       IF(header_row_id=income_header_row, MATCH(income_min_row, $C:$C, 0),
           IF(header_row_id=expenses_header_row, MATCH(expenses_min_row, $C:$C, 0),
               IF(header_row_id=savings_header_row, MATCH(savings_min_row, $C:$C, 0),""))), "")</f>
        <v/>
      </c>
      <c r="N80" s="7" t="str" cm="1">
        <f t="array" aca="1" ref="N80" ca="1">IF(is_cat,
       IF(header_row_id=income_header_row, MATCH(income_max_row, $C:$C, 0),
           IF(header_row_id=expenses_header_row, MATCH(expenses_max_row, $C:$C, 0),
               IF(header_row_id=savings_header_row, MATCH(savings_max_row, $C:$C, 0),""))), "")</f>
        <v/>
      </c>
      <c r="O80" s="6" t="str">
        <f t="shared" ca="1" si="3"/>
        <v/>
      </c>
      <c r="P80" t="str">
        <f t="shared" ca="1" si="4"/>
        <v/>
      </c>
      <c r="Q80" t="str">
        <f t="shared" ca="1" si="5"/>
        <v/>
      </c>
      <c r="R80" s="7" t="str">
        <f t="shared" ca="1" si="6"/>
        <v/>
      </c>
      <c r="S80" s="6" t="str">
        <f ca="1">IF(is_cat, _xlfn.NUMBERVALUE( tracked_rank &amp; IF(LEN(budget_rank)=1, "0", "") &amp; budget_rank), "")</f>
        <v/>
      </c>
      <c r="T80" t="str">
        <f t="shared" ca="1" si="7"/>
        <v/>
      </c>
      <c r="U80" t="str">
        <f t="shared" ca="1" si="8"/>
        <v/>
      </c>
      <c r="V80" t="str">
        <f t="shared" ca="1" si="9"/>
        <v/>
      </c>
      <c r="W80" s="7" t="str">
        <f t="shared" ca="1" si="10"/>
        <v/>
      </c>
      <c r="X80" s="57">
        <f t="shared" ca="1" si="11"/>
        <v>-1</v>
      </c>
      <c r="Y80" s="58" t="str">
        <f t="shared" ca="1" si="12"/>
        <v/>
      </c>
      <c r="Z80" s="60" t="str">
        <f t="shared" ca="1" si="13"/>
        <v/>
      </c>
      <c r="AA80" s="60" t="str">
        <f t="shared" ca="1" si="14"/>
        <v/>
      </c>
      <c r="AB80" s="59" t="str">
        <f t="shared" ca="1" si="15"/>
        <v/>
      </c>
      <c r="AC80" s="60" t="str">
        <f t="shared" ca="1" si="16"/>
        <v/>
      </c>
      <c r="AD80" s="60" t="str">
        <f t="shared" ca="1" si="17"/>
        <v/>
      </c>
    </row>
    <row r="81" spans="3:30" x14ac:dyDescent="0.2">
      <c r="C81" s="6" cm="1">
        <f t="array" aca="1" ref="C81" ca="1">IF(C80=-1,-1,
      IF(C80&lt;income_max_row, C80+1,
          IF(C80=income_max_row, income_total_row,
              IF(C80=income_total_row, "/1",
                  IF(C80="/1", expenses_header_row,
                      IF(C80&lt;expenses_max_row, C80+1,
                          IF(C80=expenses_max_row, expenses_total_row,
                              IF(C80=expenses_total_row, "/2",
                                  IF(C80="/2", savings_header_row,
                                      IF(C80&lt;savings_max_row, C80+1,
                                          IF(C80=savings_max_row, savings_total_row, -1)))))))))))</f>
        <v>-1</v>
      </c>
      <c r="D81" s="7">
        <f t="shared" ca="1" si="0"/>
        <v>-1</v>
      </c>
      <c r="E81" s="6" cm="1">
        <f t="array" aca="1" ref="E81" ca="1">1*OR(row_id=income_header_row, row_id=expenses_header_row, row_id=savings_header_row)</f>
        <v>0</v>
      </c>
      <c r="F81">
        <f t="shared" ca="1" si="1"/>
        <v>0</v>
      </c>
      <c r="G81" cm="1">
        <f t="array" aca="1" ref="G81" ca="1">1*OR(row_id=income_total_row, row_id=expenses_total_row, row_id=savings_total_row)</f>
        <v>0</v>
      </c>
      <c r="H81" s="7">
        <f t="shared" ca="1" si="2"/>
        <v>1</v>
      </c>
      <c r="I81" s="6" t="str" cm="1">
        <f t="array" aca="1" ref="I81" ca="1">IFERROR(INDEX('Budget Planning'!$C:$C, header_row_id),"")</f>
        <v/>
      </c>
      <c r="J81" t="str" cm="1">
        <f t="array" aca="1" ref="J81" ca="1">IFERROR(INDEX('Budget Planning'!$C:$C, row_id),"")</f>
        <v/>
      </c>
      <c r="K81" s="54" t="str" cm="1">
        <f t="array" aca="1" ref="K8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1" s="55" t="str" cm="1">
        <f t="array" aca="1" ref="L81" ca="1">IF(OR(is_header, is_empty), "",
      INDEX('Budget Planning'!$E:$EM, row_id,
                  MATCH(IF(selected_period="Total Year", selected_year, DATE(selected_year, selected_period, 1)), 'Budget Planning'!$E$9:$EM$9, 0)  ))</f>
        <v/>
      </c>
      <c r="M81" s="6" t="str" cm="1">
        <f t="array" aca="1" ref="M81" ca="1">IF(is_cat,
       IF(header_row_id=income_header_row, MATCH(income_min_row, $C:$C, 0),
           IF(header_row_id=expenses_header_row, MATCH(expenses_min_row, $C:$C, 0),
               IF(header_row_id=savings_header_row, MATCH(savings_min_row, $C:$C, 0),""))), "")</f>
        <v/>
      </c>
      <c r="N81" s="7" t="str" cm="1">
        <f t="array" aca="1" ref="N81" ca="1">IF(is_cat,
       IF(header_row_id=income_header_row, MATCH(income_max_row, $C:$C, 0),
           IF(header_row_id=expenses_header_row, MATCH(expenses_max_row, $C:$C, 0),
               IF(header_row_id=savings_header_row, MATCH(savings_max_row, $C:$C, 0),""))), "")</f>
        <v/>
      </c>
      <c r="O81" s="6" t="str">
        <f t="shared" ca="1" si="3"/>
        <v/>
      </c>
      <c r="P81" t="str">
        <f t="shared" ca="1" si="4"/>
        <v/>
      </c>
      <c r="Q81" t="str">
        <f t="shared" ca="1" si="5"/>
        <v/>
      </c>
      <c r="R81" s="7" t="str">
        <f t="shared" ca="1" si="6"/>
        <v/>
      </c>
      <c r="S81" s="6" t="str">
        <f ca="1">IF(is_cat, _xlfn.NUMBERVALUE( tracked_rank &amp; IF(LEN(budget_rank)=1, "0", "") &amp; budget_rank), "")</f>
        <v/>
      </c>
      <c r="T81" t="str">
        <f t="shared" ca="1" si="7"/>
        <v/>
      </c>
      <c r="U81" t="str">
        <f t="shared" ca="1" si="8"/>
        <v/>
      </c>
      <c r="V81" t="str">
        <f t="shared" ca="1" si="9"/>
        <v/>
      </c>
      <c r="W81" s="7" t="str">
        <f t="shared" ca="1" si="10"/>
        <v/>
      </c>
      <c r="X81" s="57">
        <f t="shared" ca="1" si="11"/>
        <v>-1</v>
      </c>
      <c r="Y81" s="58" t="str">
        <f t="shared" ca="1" si="12"/>
        <v/>
      </c>
      <c r="Z81" s="60" t="str">
        <f t="shared" ca="1" si="13"/>
        <v/>
      </c>
      <c r="AA81" s="60" t="str">
        <f t="shared" ca="1" si="14"/>
        <v/>
      </c>
      <c r="AB81" s="59" t="str">
        <f t="shared" ca="1" si="15"/>
        <v/>
      </c>
      <c r="AC81" s="60" t="str">
        <f t="shared" ca="1" si="16"/>
        <v/>
      </c>
      <c r="AD81" s="60" t="str">
        <f t="shared" ca="1" si="17"/>
        <v/>
      </c>
    </row>
    <row r="82" spans="3:30" x14ac:dyDescent="0.2">
      <c r="C82" s="6" cm="1">
        <f t="array" aca="1" ref="C82" ca="1">IF(C81=-1,-1,
      IF(C81&lt;income_max_row, C81+1,
          IF(C81=income_max_row, income_total_row,
              IF(C81=income_total_row, "/1",
                  IF(C81="/1", expenses_header_row,
                      IF(C81&lt;expenses_max_row, C81+1,
                          IF(C81=expenses_max_row, expenses_total_row,
                              IF(C81=expenses_total_row, "/2",
                                  IF(C81="/2", savings_header_row,
                                      IF(C81&lt;savings_max_row, C81+1,
                                          IF(C81=savings_max_row, savings_total_row, -1)))))))))))</f>
        <v>-1</v>
      </c>
      <c r="D82" s="7">
        <f t="shared" ca="1" si="0"/>
        <v>-1</v>
      </c>
      <c r="E82" s="6" cm="1">
        <f t="array" aca="1" ref="E82" ca="1">1*OR(row_id=income_header_row, row_id=expenses_header_row, row_id=savings_header_row)</f>
        <v>0</v>
      </c>
      <c r="F82">
        <f t="shared" ca="1" si="1"/>
        <v>0</v>
      </c>
      <c r="G82" cm="1">
        <f t="array" aca="1" ref="G82" ca="1">1*OR(row_id=income_total_row, row_id=expenses_total_row, row_id=savings_total_row)</f>
        <v>0</v>
      </c>
      <c r="H82" s="7">
        <f t="shared" ca="1" si="2"/>
        <v>1</v>
      </c>
      <c r="I82" s="6" t="str" cm="1">
        <f t="array" aca="1" ref="I82" ca="1">IFERROR(INDEX('Budget Planning'!$C:$C, header_row_id),"")</f>
        <v/>
      </c>
      <c r="J82" t="str" cm="1">
        <f t="array" aca="1" ref="J82" ca="1">IFERROR(INDEX('Budget Planning'!$C:$C, row_id),"")</f>
        <v/>
      </c>
      <c r="K82" s="54" t="str" cm="1">
        <f t="array" aca="1" ref="K8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2" s="55" t="str" cm="1">
        <f t="array" aca="1" ref="L82" ca="1">IF(OR(is_header, is_empty), "",
      INDEX('Budget Planning'!$E:$EM, row_id,
                  MATCH(IF(selected_period="Total Year", selected_year, DATE(selected_year, selected_period, 1)), 'Budget Planning'!$E$9:$EM$9, 0)  ))</f>
        <v/>
      </c>
      <c r="M82" s="6" t="str" cm="1">
        <f t="array" aca="1" ref="M82" ca="1">IF(is_cat,
       IF(header_row_id=income_header_row, MATCH(income_min_row, $C:$C, 0),
           IF(header_row_id=expenses_header_row, MATCH(expenses_min_row, $C:$C, 0),
               IF(header_row_id=savings_header_row, MATCH(savings_min_row, $C:$C, 0),""))), "")</f>
        <v/>
      </c>
      <c r="N82" s="7" t="str" cm="1">
        <f t="array" aca="1" ref="N82" ca="1">IF(is_cat,
       IF(header_row_id=income_header_row, MATCH(income_max_row, $C:$C, 0),
           IF(header_row_id=expenses_header_row, MATCH(expenses_max_row, $C:$C, 0),
               IF(header_row_id=savings_header_row, MATCH(savings_max_row, $C:$C, 0),""))), "")</f>
        <v/>
      </c>
      <c r="O82" s="6" t="str">
        <f t="shared" ca="1" si="3"/>
        <v/>
      </c>
      <c r="P82" t="str">
        <f t="shared" ca="1" si="4"/>
        <v/>
      </c>
      <c r="Q82" t="str">
        <f t="shared" ca="1" si="5"/>
        <v/>
      </c>
      <c r="R82" s="7" t="str">
        <f t="shared" ca="1" si="6"/>
        <v/>
      </c>
      <c r="S82" s="6" t="str">
        <f ca="1">IF(is_cat, _xlfn.NUMBERVALUE( tracked_rank &amp; IF(LEN(budget_rank)=1, "0", "") &amp; budget_rank), "")</f>
        <v/>
      </c>
      <c r="T82" t="str">
        <f t="shared" ca="1" si="7"/>
        <v/>
      </c>
      <c r="U82" t="str">
        <f t="shared" ca="1" si="8"/>
        <v/>
      </c>
      <c r="V82" t="str">
        <f t="shared" ca="1" si="9"/>
        <v/>
      </c>
      <c r="W82" s="7" t="str">
        <f t="shared" ca="1" si="10"/>
        <v/>
      </c>
      <c r="X82" s="57">
        <f t="shared" ca="1" si="11"/>
        <v>-1</v>
      </c>
      <c r="Y82" s="58" t="str">
        <f t="shared" ca="1" si="12"/>
        <v/>
      </c>
      <c r="Z82" s="60" t="str">
        <f t="shared" ca="1" si="13"/>
        <v/>
      </c>
      <c r="AA82" s="60" t="str">
        <f t="shared" ca="1" si="14"/>
        <v/>
      </c>
      <c r="AB82" s="59" t="str">
        <f t="shared" ca="1" si="15"/>
        <v/>
      </c>
      <c r="AC82" s="60" t="str">
        <f t="shared" ca="1" si="16"/>
        <v/>
      </c>
      <c r="AD82" s="60" t="str">
        <f t="shared" ca="1" si="17"/>
        <v/>
      </c>
    </row>
    <row r="83" spans="3:30" x14ac:dyDescent="0.2">
      <c r="C83" s="6" cm="1">
        <f t="array" aca="1" ref="C83" ca="1">IF(C82=-1,-1,
      IF(C82&lt;income_max_row, C82+1,
          IF(C82=income_max_row, income_total_row,
              IF(C82=income_total_row, "/1",
                  IF(C82="/1", expenses_header_row,
                      IF(C82&lt;expenses_max_row, C82+1,
                          IF(C82=expenses_max_row, expenses_total_row,
                              IF(C82=expenses_total_row, "/2",
                                  IF(C82="/2", savings_header_row,
                                      IF(C82&lt;savings_max_row, C82+1,
                                          IF(C82=savings_max_row, savings_total_row, -1)))))))))))</f>
        <v>-1</v>
      </c>
      <c r="D83" s="7">
        <f t="shared" ca="1" si="0"/>
        <v>-1</v>
      </c>
      <c r="E83" s="6" cm="1">
        <f t="array" aca="1" ref="E83" ca="1">1*OR(row_id=income_header_row, row_id=expenses_header_row, row_id=savings_header_row)</f>
        <v>0</v>
      </c>
      <c r="F83">
        <f t="shared" ca="1" si="1"/>
        <v>0</v>
      </c>
      <c r="G83" cm="1">
        <f t="array" aca="1" ref="G83" ca="1">1*OR(row_id=income_total_row, row_id=expenses_total_row, row_id=savings_total_row)</f>
        <v>0</v>
      </c>
      <c r="H83" s="7">
        <f t="shared" ca="1" si="2"/>
        <v>1</v>
      </c>
      <c r="I83" s="6" t="str" cm="1">
        <f t="array" aca="1" ref="I83" ca="1">IFERROR(INDEX('Budget Planning'!$C:$C, header_row_id),"")</f>
        <v/>
      </c>
      <c r="J83" t="str" cm="1">
        <f t="array" aca="1" ref="J83" ca="1">IFERROR(INDEX('Budget Planning'!$C:$C, row_id),"")</f>
        <v/>
      </c>
      <c r="K83" s="54" t="str" cm="1">
        <f t="array" aca="1" ref="K8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3" s="55" t="str" cm="1">
        <f t="array" aca="1" ref="L83" ca="1">IF(OR(is_header, is_empty), "",
      INDEX('Budget Planning'!$E:$EM, row_id,
                  MATCH(IF(selected_period="Total Year", selected_year, DATE(selected_year, selected_period, 1)), 'Budget Planning'!$E$9:$EM$9, 0)  ))</f>
        <v/>
      </c>
      <c r="M83" s="6" t="str" cm="1">
        <f t="array" aca="1" ref="M83" ca="1">IF(is_cat,
       IF(header_row_id=income_header_row, MATCH(income_min_row, $C:$C, 0),
           IF(header_row_id=expenses_header_row, MATCH(expenses_min_row, $C:$C, 0),
               IF(header_row_id=savings_header_row, MATCH(savings_min_row, $C:$C, 0),""))), "")</f>
        <v/>
      </c>
      <c r="N83" s="7" t="str" cm="1">
        <f t="array" aca="1" ref="N83" ca="1">IF(is_cat,
       IF(header_row_id=income_header_row, MATCH(income_max_row, $C:$C, 0),
           IF(header_row_id=expenses_header_row, MATCH(expenses_max_row, $C:$C, 0),
               IF(header_row_id=savings_header_row, MATCH(savings_max_row, $C:$C, 0),""))), "")</f>
        <v/>
      </c>
      <c r="O83" s="6" t="str">
        <f t="shared" ca="1" si="3"/>
        <v/>
      </c>
      <c r="P83" t="str">
        <f t="shared" ca="1" si="4"/>
        <v/>
      </c>
      <c r="Q83" t="str">
        <f t="shared" ca="1" si="5"/>
        <v/>
      </c>
      <c r="R83" s="7" t="str">
        <f t="shared" ca="1" si="6"/>
        <v/>
      </c>
      <c r="S83" s="6" t="str">
        <f ca="1">IF(is_cat, _xlfn.NUMBERVALUE( tracked_rank &amp; IF(LEN(budget_rank)=1, "0", "") &amp; budget_rank), "")</f>
        <v/>
      </c>
      <c r="T83" t="str">
        <f t="shared" ca="1" si="7"/>
        <v/>
      </c>
      <c r="U83" t="str">
        <f t="shared" ca="1" si="8"/>
        <v/>
      </c>
      <c r="V83" t="str">
        <f t="shared" ca="1" si="9"/>
        <v/>
      </c>
      <c r="W83" s="7" t="str">
        <f t="shared" ca="1" si="10"/>
        <v/>
      </c>
      <c r="X83" s="57">
        <f t="shared" ca="1" si="11"/>
        <v>-1</v>
      </c>
      <c r="Y83" s="58" t="str">
        <f t="shared" ca="1" si="12"/>
        <v/>
      </c>
      <c r="Z83" s="60" t="str">
        <f t="shared" ca="1" si="13"/>
        <v/>
      </c>
      <c r="AA83" s="60" t="str">
        <f t="shared" ca="1" si="14"/>
        <v/>
      </c>
      <c r="AB83" s="59" t="str">
        <f t="shared" ca="1" si="15"/>
        <v/>
      </c>
      <c r="AC83" s="60" t="str">
        <f t="shared" ca="1" si="16"/>
        <v/>
      </c>
      <c r="AD83" s="60" t="str">
        <f t="shared" ca="1" si="17"/>
        <v/>
      </c>
    </row>
    <row r="84" spans="3:30" x14ac:dyDescent="0.2">
      <c r="C84" s="6" cm="1">
        <f t="array" aca="1" ref="C84" ca="1">IF(C83=-1,-1,
      IF(C83&lt;income_max_row, C83+1,
          IF(C83=income_max_row, income_total_row,
              IF(C83=income_total_row, "/1",
                  IF(C83="/1", expenses_header_row,
                      IF(C83&lt;expenses_max_row, C83+1,
                          IF(C83=expenses_max_row, expenses_total_row,
                              IF(C83=expenses_total_row, "/2",
                                  IF(C83="/2", savings_header_row,
                                      IF(C83&lt;savings_max_row, C83+1,
                                          IF(C83=savings_max_row, savings_total_row, -1)))))))))))</f>
        <v>-1</v>
      </c>
      <c r="D84" s="7">
        <f t="shared" ca="1" si="0"/>
        <v>-1</v>
      </c>
      <c r="E84" s="6" cm="1">
        <f t="array" aca="1" ref="E84" ca="1">1*OR(row_id=income_header_row, row_id=expenses_header_row, row_id=savings_header_row)</f>
        <v>0</v>
      </c>
      <c r="F84">
        <f t="shared" ca="1" si="1"/>
        <v>0</v>
      </c>
      <c r="G84" cm="1">
        <f t="array" aca="1" ref="G84" ca="1">1*OR(row_id=income_total_row, row_id=expenses_total_row, row_id=savings_total_row)</f>
        <v>0</v>
      </c>
      <c r="H84" s="7">
        <f t="shared" ca="1" si="2"/>
        <v>1</v>
      </c>
      <c r="I84" s="6" t="str" cm="1">
        <f t="array" aca="1" ref="I84" ca="1">IFERROR(INDEX('Budget Planning'!$C:$C, header_row_id),"")</f>
        <v/>
      </c>
      <c r="J84" t="str" cm="1">
        <f t="array" aca="1" ref="J84" ca="1">IFERROR(INDEX('Budget Planning'!$C:$C, row_id),"")</f>
        <v/>
      </c>
      <c r="K84" s="54" t="str" cm="1">
        <f t="array" aca="1" ref="K8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4" s="55" t="str" cm="1">
        <f t="array" aca="1" ref="L84" ca="1">IF(OR(is_header, is_empty), "",
      INDEX('Budget Planning'!$E:$EM, row_id,
                  MATCH(IF(selected_period="Total Year", selected_year, DATE(selected_year, selected_period, 1)), 'Budget Planning'!$E$9:$EM$9, 0)  ))</f>
        <v/>
      </c>
      <c r="M84" s="6" t="str" cm="1">
        <f t="array" aca="1" ref="M84" ca="1">IF(is_cat,
       IF(header_row_id=income_header_row, MATCH(income_min_row, $C:$C, 0),
           IF(header_row_id=expenses_header_row, MATCH(expenses_min_row, $C:$C, 0),
               IF(header_row_id=savings_header_row, MATCH(savings_min_row, $C:$C, 0),""))), "")</f>
        <v/>
      </c>
      <c r="N84" s="7" t="str" cm="1">
        <f t="array" aca="1" ref="N84" ca="1">IF(is_cat,
       IF(header_row_id=income_header_row, MATCH(income_max_row, $C:$C, 0),
           IF(header_row_id=expenses_header_row, MATCH(expenses_max_row, $C:$C, 0),
               IF(header_row_id=savings_header_row, MATCH(savings_max_row, $C:$C, 0),""))), "")</f>
        <v/>
      </c>
      <c r="O84" s="6" t="str">
        <f t="shared" ca="1" si="3"/>
        <v/>
      </c>
      <c r="P84" t="str">
        <f t="shared" ca="1" si="4"/>
        <v/>
      </c>
      <c r="Q84" t="str">
        <f t="shared" ca="1" si="5"/>
        <v/>
      </c>
      <c r="R84" s="7" t="str">
        <f t="shared" ca="1" si="6"/>
        <v/>
      </c>
      <c r="S84" s="6" t="str">
        <f ca="1">IF(is_cat, _xlfn.NUMBERVALUE( tracked_rank &amp; IF(LEN(budget_rank)=1, "0", "") &amp; budget_rank), "")</f>
        <v/>
      </c>
      <c r="T84" t="str">
        <f t="shared" ca="1" si="7"/>
        <v/>
      </c>
      <c r="U84" t="str">
        <f t="shared" ca="1" si="8"/>
        <v/>
      </c>
      <c r="V84" t="str">
        <f t="shared" ca="1" si="9"/>
        <v/>
      </c>
      <c r="W84" s="7" t="str">
        <f t="shared" ca="1" si="10"/>
        <v/>
      </c>
      <c r="X84" s="57">
        <f t="shared" ca="1" si="11"/>
        <v>-1</v>
      </c>
      <c r="Y84" s="58" t="str">
        <f t="shared" ca="1" si="12"/>
        <v/>
      </c>
      <c r="Z84" s="60" t="str">
        <f t="shared" ca="1" si="13"/>
        <v/>
      </c>
      <c r="AA84" s="60" t="str">
        <f t="shared" ca="1" si="14"/>
        <v/>
      </c>
      <c r="AB84" s="59" t="str">
        <f t="shared" ca="1" si="15"/>
        <v/>
      </c>
      <c r="AC84" s="60" t="str">
        <f t="shared" ca="1" si="16"/>
        <v/>
      </c>
      <c r="AD84" s="60" t="str">
        <f t="shared" ca="1" si="17"/>
        <v/>
      </c>
    </row>
    <row r="85" spans="3:30" x14ac:dyDescent="0.2">
      <c r="C85" s="6" cm="1">
        <f t="array" aca="1" ref="C85" ca="1">IF(C84=-1,-1,
      IF(C84&lt;income_max_row, C84+1,
          IF(C84=income_max_row, income_total_row,
              IF(C84=income_total_row, "/1",
                  IF(C84="/1", expenses_header_row,
                      IF(C84&lt;expenses_max_row, C84+1,
                          IF(C84=expenses_max_row, expenses_total_row,
                              IF(C84=expenses_total_row, "/2",
                                  IF(C84="/2", savings_header_row,
                                      IF(C84&lt;savings_max_row, C84+1,
                                          IF(C84=savings_max_row, savings_total_row, -1)))))))))))</f>
        <v>-1</v>
      </c>
      <c r="D85" s="7">
        <f t="shared" ca="1" si="0"/>
        <v>-1</v>
      </c>
      <c r="E85" s="6" cm="1">
        <f t="array" aca="1" ref="E85" ca="1">1*OR(row_id=income_header_row, row_id=expenses_header_row, row_id=savings_header_row)</f>
        <v>0</v>
      </c>
      <c r="F85">
        <f t="shared" ca="1" si="1"/>
        <v>0</v>
      </c>
      <c r="G85" cm="1">
        <f t="array" aca="1" ref="G85" ca="1">1*OR(row_id=income_total_row, row_id=expenses_total_row, row_id=savings_total_row)</f>
        <v>0</v>
      </c>
      <c r="H85" s="7">
        <f t="shared" ca="1" si="2"/>
        <v>1</v>
      </c>
      <c r="I85" s="6" t="str" cm="1">
        <f t="array" aca="1" ref="I85" ca="1">IFERROR(INDEX('Budget Planning'!$C:$C, header_row_id),"")</f>
        <v/>
      </c>
      <c r="J85" t="str" cm="1">
        <f t="array" aca="1" ref="J85" ca="1">IFERROR(INDEX('Budget Planning'!$C:$C, row_id),"")</f>
        <v/>
      </c>
      <c r="K85" s="54" t="str" cm="1">
        <f t="array" aca="1" ref="K8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5" s="55" t="str" cm="1">
        <f t="array" aca="1" ref="L85" ca="1">IF(OR(is_header, is_empty), "",
      INDEX('Budget Planning'!$E:$EM, row_id,
                  MATCH(IF(selected_period="Total Year", selected_year, DATE(selected_year, selected_period, 1)), 'Budget Planning'!$E$9:$EM$9, 0)  ))</f>
        <v/>
      </c>
      <c r="M85" s="6" t="str" cm="1">
        <f t="array" aca="1" ref="M85" ca="1">IF(is_cat,
       IF(header_row_id=income_header_row, MATCH(income_min_row, $C:$C, 0),
           IF(header_row_id=expenses_header_row, MATCH(expenses_min_row, $C:$C, 0),
               IF(header_row_id=savings_header_row, MATCH(savings_min_row, $C:$C, 0),""))), "")</f>
        <v/>
      </c>
      <c r="N85" s="7" t="str" cm="1">
        <f t="array" aca="1" ref="N85" ca="1">IF(is_cat,
       IF(header_row_id=income_header_row, MATCH(income_max_row, $C:$C, 0),
           IF(header_row_id=expenses_header_row, MATCH(expenses_max_row, $C:$C, 0),
               IF(header_row_id=savings_header_row, MATCH(savings_max_row, $C:$C, 0),""))), "")</f>
        <v/>
      </c>
      <c r="O85" s="6" t="str">
        <f t="shared" ca="1" si="3"/>
        <v/>
      </c>
      <c r="P85" t="str">
        <f t="shared" ca="1" si="4"/>
        <v/>
      </c>
      <c r="Q85" t="str">
        <f t="shared" ca="1" si="5"/>
        <v/>
      </c>
      <c r="R85" s="7" t="str">
        <f t="shared" ca="1" si="6"/>
        <v/>
      </c>
      <c r="S85" s="6" t="str">
        <f ca="1">IF(is_cat, _xlfn.NUMBERVALUE( tracked_rank &amp; IF(LEN(budget_rank)=1, "0", "") &amp; budget_rank), "")</f>
        <v/>
      </c>
      <c r="T85" t="str">
        <f t="shared" ca="1" si="7"/>
        <v/>
      </c>
      <c r="U85" t="str">
        <f t="shared" ca="1" si="8"/>
        <v/>
      </c>
      <c r="V85" t="str">
        <f t="shared" ca="1" si="9"/>
        <v/>
      </c>
      <c r="W85" s="7" t="str">
        <f t="shared" ca="1" si="10"/>
        <v/>
      </c>
      <c r="X85" s="57">
        <f t="shared" ca="1" si="11"/>
        <v>-1</v>
      </c>
      <c r="Y85" s="58" t="str">
        <f t="shared" ca="1" si="12"/>
        <v/>
      </c>
      <c r="Z85" s="60" t="str">
        <f t="shared" ca="1" si="13"/>
        <v/>
      </c>
      <c r="AA85" s="60" t="str">
        <f t="shared" ca="1" si="14"/>
        <v/>
      </c>
      <c r="AB85" s="59" t="str">
        <f t="shared" ca="1" si="15"/>
        <v/>
      </c>
      <c r="AC85" s="60" t="str">
        <f t="shared" ca="1" si="16"/>
        <v/>
      </c>
      <c r="AD85" s="60" t="str">
        <f t="shared" ca="1" si="17"/>
        <v/>
      </c>
    </row>
    <row r="86" spans="3:30" x14ac:dyDescent="0.2">
      <c r="C86" s="6" cm="1">
        <f t="array" aca="1" ref="C86" ca="1">IF(C85=-1,-1,
      IF(C85&lt;income_max_row, C85+1,
          IF(C85=income_max_row, income_total_row,
              IF(C85=income_total_row, "/1",
                  IF(C85="/1", expenses_header_row,
                      IF(C85&lt;expenses_max_row, C85+1,
                          IF(C85=expenses_max_row, expenses_total_row,
                              IF(C85=expenses_total_row, "/2",
                                  IF(C85="/2", savings_header_row,
                                      IF(C85&lt;savings_max_row, C85+1,
                                          IF(C85=savings_max_row, savings_total_row, -1)))))))))))</f>
        <v>-1</v>
      </c>
      <c r="D86" s="7">
        <f t="shared" ca="1" si="0"/>
        <v>-1</v>
      </c>
      <c r="E86" s="6" cm="1">
        <f t="array" aca="1" ref="E86" ca="1">1*OR(row_id=income_header_row, row_id=expenses_header_row, row_id=savings_header_row)</f>
        <v>0</v>
      </c>
      <c r="F86">
        <f t="shared" ca="1" si="1"/>
        <v>0</v>
      </c>
      <c r="G86" cm="1">
        <f t="array" aca="1" ref="G86" ca="1">1*OR(row_id=income_total_row, row_id=expenses_total_row, row_id=savings_total_row)</f>
        <v>0</v>
      </c>
      <c r="H86" s="7">
        <f t="shared" ca="1" si="2"/>
        <v>1</v>
      </c>
      <c r="I86" s="6" t="str" cm="1">
        <f t="array" aca="1" ref="I86" ca="1">IFERROR(INDEX('Budget Planning'!$C:$C, header_row_id),"")</f>
        <v/>
      </c>
      <c r="J86" t="str" cm="1">
        <f t="array" aca="1" ref="J86" ca="1">IFERROR(INDEX('Budget Planning'!$C:$C, row_id),"")</f>
        <v/>
      </c>
      <c r="K86" s="54" t="str" cm="1">
        <f t="array" aca="1" ref="K8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6" s="55" t="str" cm="1">
        <f t="array" aca="1" ref="L86" ca="1">IF(OR(is_header, is_empty), "",
      INDEX('Budget Planning'!$E:$EM, row_id,
                  MATCH(IF(selected_period="Total Year", selected_year, DATE(selected_year, selected_period, 1)), 'Budget Planning'!$E$9:$EM$9, 0)  ))</f>
        <v/>
      </c>
      <c r="M86" s="6" t="str" cm="1">
        <f t="array" aca="1" ref="M86" ca="1">IF(is_cat,
       IF(header_row_id=income_header_row, MATCH(income_min_row, $C:$C, 0),
           IF(header_row_id=expenses_header_row, MATCH(expenses_min_row, $C:$C, 0),
               IF(header_row_id=savings_header_row, MATCH(savings_min_row, $C:$C, 0),""))), "")</f>
        <v/>
      </c>
      <c r="N86" s="7" t="str" cm="1">
        <f t="array" aca="1" ref="N86" ca="1">IF(is_cat,
       IF(header_row_id=income_header_row, MATCH(income_max_row, $C:$C, 0),
           IF(header_row_id=expenses_header_row, MATCH(expenses_max_row, $C:$C, 0),
               IF(header_row_id=savings_header_row, MATCH(savings_max_row, $C:$C, 0),""))), "")</f>
        <v/>
      </c>
      <c r="O86" s="6" t="str">
        <f t="shared" ca="1" si="3"/>
        <v/>
      </c>
      <c r="P86" t="str">
        <f t="shared" ca="1" si="4"/>
        <v/>
      </c>
      <c r="Q86" t="str">
        <f t="shared" ca="1" si="5"/>
        <v/>
      </c>
      <c r="R86" s="7" t="str">
        <f t="shared" ca="1" si="6"/>
        <v/>
      </c>
      <c r="S86" s="6" t="str">
        <f ca="1">IF(is_cat, _xlfn.NUMBERVALUE( tracked_rank &amp; IF(LEN(budget_rank)=1, "0", "") &amp; budget_rank), "")</f>
        <v/>
      </c>
      <c r="T86" t="str">
        <f t="shared" ca="1" si="7"/>
        <v/>
      </c>
      <c r="U86" t="str">
        <f t="shared" ca="1" si="8"/>
        <v/>
      </c>
      <c r="V86" t="str">
        <f t="shared" ca="1" si="9"/>
        <v/>
      </c>
      <c r="W86" s="7" t="str">
        <f t="shared" ca="1" si="10"/>
        <v/>
      </c>
      <c r="X86" s="57">
        <f t="shared" ca="1" si="11"/>
        <v>-1</v>
      </c>
      <c r="Y86" s="58" t="str">
        <f t="shared" ca="1" si="12"/>
        <v/>
      </c>
      <c r="Z86" s="60" t="str">
        <f t="shared" ca="1" si="13"/>
        <v/>
      </c>
      <c r="AA86" s="60" t="str">
        <f t="shared" ca="1" si="14"/>
        <v/>
      </c>
      <c r="AB86" s="59" t="str">
        <f t="shared" ca="1" si="15"/>
        <v/>
      </c>
      <c r="AC86" s="60" t="str">
        <f t="shared" ca="1" si="16"/>
        <v/>
      </c>
      <c r="AD86" s="60" t="str">
        <f t="shared" ca="1" si="17"/>
        <v/>
      </c>
    </row>
    <row r="87" spans="3:30" x14ac:dyDescent="0.2">
      <c r="C87" s="6" cm="1">
        <f t="array" aca="1" ref="C87" ca="1">IF(C86=-1,-1,
      IF(C86&lt;income_max_row, C86+1,
          IF(C86=income_max_row, income_total_row,
              IF(C86=income_total_row, "/1",
                  IF(C86="/1", expenses_header_row,
                      IF(C86&lt;expenses_max_row, C86+1,
                          IF(C86=expenses_max_row, expenses_total_row,
                              IF(C86=expenses_total_row, "/2",
                                  IF(C86="/2", savings_header_row,
                                      IF(C86&lt;savings_max_row, C86+1,
                                          IF(C86=savings_max_row, savings_total_row, -1)))))))))))</f>
        <v>-1</v>
      </c>
      <c r="D87" s="7">
        <f t="shared" ca="1" si="0"/>
        <v>-1</v>
      </c>
      <c r="E87" s="6" cm="1">
        <f t="array" aca="1" ref="E87" ca="1">1*OR(row_id=income_header_row, row_id=expenses_header_row, row_id=savings_header_row)</f>
        <v>0</v>
      </c>
      <c r="F87">
        <f t="shared" ca="1" si="1"/>
        <v>0</v>
      </c>
      <c r="G87" cm="1">
        <f t="array" aca="1" ref="G87" ca="1">1*OR(row_id=income_total_row, row_id=expenses_total_row, row_id=savings_total_row)</f>
        <v>0</v>
      </c>
      <c r="H87" s="7">
        <f t="shared" ca="1" si="2"/>
        <v>1</v>
      </c>
      <c r="I87" s="6" t="str" cm="1">
        <f t="array" aca="1" ref="I87" ca="1">IFERROR(INDEX('Budget Planning'!$C:$C, header_row_id),"")</f>
        <v/>
      </c>
      <c r="J87" t="str" cm="1">
        <f t="array" aca="1" ref="J87" ca="1">IFERROR(INDEX('Budget Planning'!$C:$C, row_id),"")</f>
        <v/>
      </c>
      <c r="K87" s="54" t="str" cm="1">
        <f t="array" aca="1" ref="K8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7" s="55" t="str" cm="1">
        <f t="array" aca="1" ref="L87" ca="1">IF(OR(is_header, is_empty), "",
      INDEX('Budget Planning'!$E:$EM, row_id,
                  MATCH(IF(selected_period="Total Year", selected_year, DATE(selected_year, selected_period, 1)), 'Budget Planning'!$E$9:$EM$9, 0)  ))</f>
        <v/>
      </c>
      <c r="M87" s="6" t="str" cm="1">
        <f t="array" aca="1" ref="M87" ca="1">IF(is_cat,
       IF(header_row_id=income_header_row, MATCH(income_min_row, $C:$C, 0),
           IF(header_row_id=expenses_header_row, MATCH(expenses_min_row, $C:$C, 0),
               IF(header_row_id=savings_header_row, MATCH(savings_min_row, $C:$C, 0),""))), "")</f>
        <v/>
      </c>
      <c r="N87" s="7" t="str" cm="1">
        <f t="array" aca="1" ref="N87" ca="1">IF(is_cat,
       IF(header_row_id=income_header_row, MATCH(income_max_row, $C:$C, 0),
           IF(header_row_id=expenses_header_row, MATCH(expenses_max_row, $C:$C, 0),
               IF(header_row_id=savings_header_row, MATCH(savings_max_row, $C:$C, 0),""))), "")</f>
        <v/>
      </c>
      <c r="O87" s="6" t="str">
        <f t="shared" ca="1" si="3"/>
        <v/>
      </c>
      <c r="P87" t="str">
        <f t="shared" ca="1" si="4"/>
        <v/>
      </c>
      <c r="Q87" t="str">
        <f t="shared" ca="1" si="5"/>
        <v/>
      </c>
      <c r="R87" s="7" t="str">
        <f t="shared" ca="1" si="6"/>
        <v/>
      </c>
      <c r="S87" s="6" t="str">
        <f ca="1">IF(is_cat, _xlfn.NUMBERVALUE( tracked_rank &amp; IF(LEN(budget_rank)=1, "0", "") &amp; budget_rank), "")</f>
        <v/>
      </c>
      <c r="T87" t="str">
        <f t="shared" ca="1" si="7"/>
        <v/>
      </c>
      <c r="U87" t="str">
        <f t="shared" ca="1" si="8"/>
        <v/>
      </c>
      <c r="V87" t="str">
        <f t="shared" ca="1" si="9"/>
        <v/>
      </c>
      <c r="W87" s="7" t="str">
        <f t="shared" ca="1" si="10"/>
        <v/>
      </c>
      <c r="X87" s="57">
        <f t="shared" ca="1" si="11"/>
        <v>-1</v>
      </c>
      <c r="Y87" s="58" t="str">
        <f t="shared" ca="1" si="12"/>
        <v/>
      </c>
      <c r="Z87" s="60" t="str">
        <f t="shared" ca="1" si="13"/>
        <v/>
      </c>
      <c r="AA87" s="60" t="str">
        <f t="shared" ca="1" si="14"/>
        <v/>
      </c>
      <c r="AB87" s="59" t="str">
        <f t="shared" ca="1" si="15"/>
        <v/>
      </c>
      <c r="AC87" s="60" t="str">
        <f t="shared" ca="1" si="16"/>
        <v/>
      </c>
      <c r="AD87" s="60" t="str">
        <f t="shared" ca="1" si="17"/>
        <v/>
      </c>
    </row>
    <row r="88" spans="3:30" x14ac:dyDescent="0.2">
      <c r="C88" s="6" cm="1">
        <f t="array" aca="1" ref="C88" ca="1">IF(C87=-1,-1,
      IF(C87&lt;income_max_row, C87+1,
          IF(C87=income_max_row, income_total_row,
              IF(C87=income_total_row, "/1",
                  IF(C87="/1", expenses_header_row,
                      IF(C87&lt;expenses_max_row, C87+1,
                          IF(C87=expenses_max_row, expenses_total_row,
                              IF(C87=expenses_total_row, "/2",
                                  IF(C87="/2", savings_header_row,
                                      IF(C87&lt;savings_max_row, C87+1,
                                          IF(C87=savings_max_row, savings_total_row, -1)))))))))))</f>
        <v>-1</v>
      </c>
      <c r="D88" s="7">
        <f t="shared" ca="1" si="0"/>
        <v>-1</v>
      </c>
      <c r="E88" s="6" cm="1">
        <f t="array" aca="1" ref="E88" ca="1">1*OR(row_id=income_header_row, row_id=expenses_header_row, row_id=savings_header_row)</f>
        <v>0</v>
      </c>
      <c r="F88">
        <f t="shared" ca="1" si="1"/>
        <v>0</v>
      </c>
      <c r="G88" cm="1">
        <f t="array" aca="1" ref="G88" ca="1">1*OR(row_id=income_total_row, row_id=expenses_total_row, row_id=savings_total_row)</f>
        <v>0</v>
      </c>
      <c r="H88" s="7">
        <f t="shared" ca="1" si="2"/>
        <v>1</v>
      </c>
      <c r="I88" s="6" t="str" cm="1">
        <f t="array" aca="1" ref="I88" ca="1">IFERROR(INDEX('Budget Planning'!$C:$C, header_row_id),"")</f>
        <v/>
      </c>
      <c r="J88" t="str" cm="1">
        <f t="array" aca="1" ref="J88" ca="1">IFERROR(INDEX('Budget Planning'!$C:$C, row_id),"")</f>
        <v/>
      </c>
      <c r="K88" s="54" t="str" cm="1">
        <f t="array" aca="1" ref="K8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8" s="55" t="str" cm="1">
        <f t="array" aca="1" ref="L88" ca="1">IF(OR(is_header, is_empty), "",
      INDEX('Budget Planning'!$E:$EM, row_id,
                  MATCH(IF(selected_period="Total Year", selected_year, DATE(selected_year, selected_period, 1)), 'Budget Planning'!$E$9:$EM$9, 0)  ))</f>
        <v/>
      </c>
      <c r="M88" s="6" t="str" cm="1">
        <f t="array" aca="1" ref="M88" ca="1">IF(is_cat,
       IF(header_row_id=income_header_row, MATCH(income_min_row, $C:$C, 0),
           IF(header_row_id=expenses_header_row, MATCH(expenses_min_row, $C:$C, 0),
               IF(header_row_id=savings_header_row, MATCH(savings_min_row, $C:$C, 0),""))), "")</f>
        <v/>
      </c>
      <c r="N88" s="7" t="str" cm="1">
        <f t="array" aca="1" ref="N88" ca="1">IF(is_cat,
       IF(header_row_id=income_header_row, MATCH(income_max_row, $C:$C, 0),
           IF(header_row_id=expenses_header_row, MATCH(expenses_max_row, $C:$C, 0),
               IF(header_row_id=savings_header_row, MATCH(savings_max_row, $C:$C, 0),""))), "")</f>
        <v/>
      </c>
      <c r="O88" s="6" t="str">
        <f t="shared" ca="1" si="3"/>
        <v/>
      </c>
      <c r="P88" t="str">
        <f t="shared" ca="1" si="4"/>
        <v/>
      </c>
      <c r="Q88" t="str">
        <f t="shared" ca="1" si="5"/>
        <v/>
      </c>
      <c r="R88" s="7" t="str">
        <f t="shared" ca="1" si="6"/>
        <v/>
      </c>
      <c r="S88" s="6" t="str">
        <f ca="1">IF(is_cat, _xlfn.NUMBERVALUE( tracked_rank &amp; IF(LEN(budget_rank)=1, "0", "") &amp; budget_rank), "")</f>
        <v/>
      </c>
      <c r="T88" t="str">
        <f t="shared" ca="1" si="7"/>
        <v/>
      </c>
      <c r="U88" t="str">
        <f t="shared" ca="1" si="8"/>
        <v/>
      </c>
      <c r="V88" t="str">
        <f t="shared" ca="1" si="9"/>
        <v/>
      </c>
      <c r="W88" s="7" t="str">
        <f t="shared" ca="1" si="10"/>
        <v/>
      </c>
      <c r="X88" s="57">
        <f t="shared" ca="1" si="11"/>
        <v>-1</v>
      </c>
      <c r="Y88" s="58" t="str">
        <f t="shared" ca="1" si="12"/>
        <v/>
      </c>
      <c r="Z88" s="60" t="str">
        <f t="shared" ca="1" si="13"/>
        <v/>
      </c>
      <c r="AA88" s="60" t="str">
        <f t="shared" ca="1" si="14"/>
        <v/>
      </c>
      <c r="AB88" s="59" t="str">
        <f t="shared" ca="1" si="15"/>
        <v/>
      </c>
      <c r="AC88" s="60" t="str">
        <f t="shared" ca="1" si="16"/>
        <v/>
      </c>
      <c r="AD88" s="60" t="str">
        <f t="shared" ca="1" si="17"/>
        <v/>
      </c>
    </row>
    <row r="89" spans="3:30" x14ac:dyDescent="0.2">
      <c r="C89" s="6" cm="1">
        <f t="array" aca="1" ref="C89" ca="1">IF(C88=-1,-1,
      IF(C88&lt;income_max_row, C88+1,
          IF(C88=income_max_row, income_total_row,
              IF(C88=income_total_row, "/1",
                  IF(C88="/1", expenses_header_row,
                      IF(C88&lt;expenses_max_row, C88+1,
                          IF(C88=expenses_max_row, expenses_total_row,
                              IF(C88=expenses_total_row, "/2",
                                  IF(C88="/2", savings_header_row,
                                      IF(C88&lt;savings_max_row, C88+1,
                                          IF(C88=savings_max_row, savings_total_row, -1)))))))))))</f>
        <v>-1</v>
      </c>
      <c r="D89" s="7">
        <f t="shared" ca="1" si="0"/>
        <v>-1</v>
      </c>
      <c r="E89" s="6" cm="1">
        <f t="array" aca="1" ref="E89" ca="1">1*OR(row_id=income_header_row, row_id=expenses_header_row, row_id=savings_header_row)</f>
        <v>0</v>
      </c>
      <c r="F89">
        <f t="shared" ca="1" si="1"/>
        <v>0</v>
      </c>
      <c r="G89" cm="1">
        <f t="array" aca="1" ref="G89" ca="1">1*OR(row_id=income_total_row, row_id=expenses_total_row, row_id=savings_total_row)</f>
        <v>0</v>
      </c>
      <c r="H89" s="7">
        <f t="shared" ca="1" si="2"/>
        <v>1</v>
      </c>
      <c r="I89" s="6" t="str" cm="1">
        <f t="array" aca="1" ref="I89" ca="1">IFERROR(INDEX('Budget Planning'!$C:$C, header_row_id),"")</f>
        <v/>
      </c>
      <c r="J89" t="str" cm="1">
        <f t="array" aca="1" ref="J89" ca="1">IFERROR(INDEX('Budget Planning'!$C:$C, row_id),"")</f>
        <v/>
      </c>
      <c r="K89" s="54" t="str" cm="1">
        <f t="array" aca="1" ref="K8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9" s="55" t="str" cm="1">
        <f t="array" aca="1" ref="L89" ca="1">IF(OR(is_header, is_empty), "",
      INDEX('Budget Planning'!$E:$EM, row_id,
                  MATCH(IF(selected_period="Total Year", selected_year, DATE(selected_year, selected_period, 1)), 'Budget Planning'!$E$9:$EM$9, 0)  ))</f>
        <v/>
      </c>
      <c r="M89" s="6" t="str" cm="1">
        <f t="array" aca="1" ref="M89" ca="1">IF(is_cat,
       IF(header_row_id=income_header_row, MATCH(income_min_row, $C:$C, 0),
           IF(header_row_id=expenses_header_row, MATCH(expenses_min_row, $C:$C, 0),
               IF(header_row_id=savings_header_row, MATCH(savings_min_row, $C:$C, 0),""))), "")</f>
        <v/>
      </c>
      <c r="N89" s="7" t="str" cm="1">
        <f t="array" aca="1" ref="N89" ca="1">IF(is_cat,
       IF(header_row_id=income_header_row, MATCH(income_max_row, $C:$C, 0),
           IF(header_row_id=expenses_header_row, MATCH(expenses_max_row, $C:$C, 0),
               IF(header_row_id=savings_header_row, MATCH(savings_max_row, $C:$C, 0),""))), "")</f>
        <v/>
      </c>
      <c r="O89" s="6" t="str">
        <f t="shared" ca="1" si="3"/>
        <v/>
      </c>
      <c r="P89" t="str">
        <f t="shared" ca="1" si="4"/>
        <v/>
      </c>
      <c r="Q89" t="str">
        <f t="shared" ca="1" si="5"/>
        <v/>
      </c>
      <c r="R89" s="7" t="str">
        <f t="shared" ca="1" si="6"/>
        <v/>
      </c>
      <c r="S89" s="6" t="str">
        <f ca="1">IF(is_cat, _xlfn.NUMBERVALUE( tracked_rank &amp; IF(LEN(budget_rank)=1, "0", "") &amp; budget_rank), "")</f>
        <v/>
      </c>
      <c r="T89" t="str">
        <f t="shared" ca="1" si="7"/>
        <v/>
      </c>
      <c r="U89" t="str">
        <f t="shared" ca="1" si="8"/>
        <v/>
      </c>
      <c r="V89" t="str">
        <f t="shared" ca="1" si="9"/>
        <v/>
      </c>
      <c r="W89" s="7" t="str">
        <f t="shared" ca="1" si="10"/>
        <v/>
      </c>
      <c r="X89" s="57">
        <f t="shared" ca="1" si="11"/>
        <v>-1</v>
      </c>
      <c r="Y89" s="58" t="str">
        <f t="shared" ca="1" si="12"/>
        <v/>
      </c>
      <c r="Z89" s="60" t="str">
        <f t="shared" ca="1" si="13"/>
        <v/>
      </c>
      <c r="AA89" s="60" t="str">
        <f t="shared" ca="1" si="14"/>
        <v/>
      </c>
      <c r="AB89" s="59" t="str">
        <f t="shared" ca="1" si="15"/>
        <v/>
      </c>
      <c r="AC89" s="60" t="str">
        <f t="shared" ca="1" si="16"/>
        <v/>
      </c>
      <c r="AD89" s="60" t="str">
        <f t="shared" ca="1" si="17"/>
        <v/>
      </c>
    </row>
    <row r="90" spans="3:30" x14ac:dyDescent="0.2">
      <c r="C90" s="6" cm="1">
        <f t="array" aca="1" ref="C90" ca="1">IF(C89=-1,-1,
      IF(C89&lt;income_max_row, C89+1,
          IF(C89=income_max_row, income_total_row,
              IF(C89=income_total_row, "/1",
                  IF(C89="/1", expenses_header_row,
                      IF(C89&lt;expenses_max_row, C89+1,
                          IF(C89=expenses_max_row, expenses_total_row,
                              IF(C89=expenses_total_row, "/2",
                                  IF(C89="/2", savings_header_row,
                                      IF(C89&lt;savings_max_row, C89+1,
                                          IF(C89=savings_max_row, savings_total_row, -1)))))))))))</f>
        <v>-1</v>
      </c>
      <c r="D90" s="7">
        <f t="shared" ca="1" si="0"/>
        <v>-1</v>
      </c>
      <c r="E90" s="6" cm="1">
        <f t="array" aca="1" ref="E90" ca="1">1*OR(row_id=income_header_row, row_id=expenses_header_row, row_id=savings_header_row)</f>
        <v>0</v>
      </c>
      <c r="F90">
        <f t="shared" ca="1" si="1"/>
        <v>0</v>
      </c>
      <c r="G90" cm="1">
        <f t="array" aca="1" ref="G90" ca="1">1*OR(row_id=income_total_row, row_id=expenses_total_row, row_id=savings_total_row)</f>
        <v>0</v>
      </c>
      <c r="H90" s="7">
        <f t="shared" ca="1" si="2"/>
        <v>1</v>
      </c>
      <c r="I90" s="6" t="str" cm="1">
        <f t="array" aca="1" ref="I90" ca="1">IFERROR(INDEX('Budget Planning'!$C:$C, header_row_id),"")</f>
        <v/>
      </c>
      <c r="J90" t="str" cm="1">
        <f t="array" aca="1" ref="J90" ca="1">IFERROR(INDEX('Budget Planning'!$C:$C, row_id),"")</f>
        <v/>
      </c>
      <c r="K90" s="54" t="str" cm="1">
        <f t="array" aca="1" ref="K9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0" s="55" t="str" cm="1">
        <f t="array" aca="1" ref="L90" ca="1">IF(OR(is_header, is_empty), "",
      INDEX('Budget Planning'!$E:$EM, row_id,
                  MATCH(IF(selected_period="Total Year", selected_year, DATE(selected_year, selected_period, 1)), 'Budget Planning'!$E$9:$EM$9, 0)  ))</f>
        <v/>
      </c>
      <c r="M90" s="6" t="str" cm="1">
        <f t="array" aca="1" ref="M90" ca="1">IF(is_cat,
       IF(header_row_id=income_header_row, MATCH(income_min_row, $C:$C, 0),
           IF(header_row_id=expenses_header_row, MATCH(expenses_min_row, $C:$C, 0),
               IF(header_row_id=savings_header_row, MATCH(savings_min_row, $C:$C, 0),""))), "")</f>
        <v/>
      </c>
      <c r="N90" s="7" t="str" cm="1">
        <f t="array" aca="1" ref="N90" ca="1">IF(is_cat,
       IF(header_row_id=income_header_row, MATCH(income_max_row, $C:$C, 0),
           IF(header_row_id=expenses_header_row, MATCH(expenses_max_row, $C:$C, 0),
               IF(header_row_id=savings_header_row, MATCH(savings_max_row, $C:$C, 0),""))), "")</f>
        <v/>
      </c>
      <c r="O90" s="6" t="str">
        <f t="shared" ca="1" si="3"/>
        <v/>
      </c>
      <c r="P90" t="str">
        <f t="shared" ca="1" si="4"/>
        <v/>
      </c>
      <c r="Q90" t="str">
        <f t="shared" ca="1" si="5"/>
        <v/>
      </c>
      <c r="R90" s="7" t="str">
        <f t="shared" ca="1" si="6"/>
        <v/>
      </c>
      <c r="S90" s="6" t="str">
        <f ca="1">IF(is_cat, _xlfn.NUMBERVALUE( tracked_rank &amp; IF(LEN(budget_rank)=1, "0", "") &amp; budget_rank), "")</f>
        <v/>
      </c>
      <c r="T90" t="str">
        <f t="shared" ca="1" si="7"/>
        <v/>
      </c>
      <c r="U90" t="str">
        <f t="shared" ca="1" si="8"/>
        <v/>
      </c>
      <c r="V90" t="str">
        <f t="shared" ca="1" si="9"/>
        <v/>
      </c>
      <c r="W90" s="7" t="str">
        <f t="shared" ca="1" si="10"/>
        <v/>
      </c>
      <c r="X90" s="57">
        <f t="shared" ca="1" si="11"/>
        <v>-1</v>
      </c>
      <c r="Y90" s="58" t="str">
        <f t="shared" ca="1" si="12"/>
        <v/>
      </c>
      <c r="Z90" s="60" t="str">
        <f t="shared" ca="1" si="13"/>
        <v/>
      </c>
      <c r="AA90" s="60" t="str">
        <f t="shared" ca="1" si="14"/>
        <v/>
      </c>
      <c r="AB90" s="59" t="str">
        <f t="shared" ca="1" si="15"/>
        <v/>
      </c>
      <c r="AC90" s="60" t="str">
        <f t="shared" ca="1" si="16"/>
        <v/>
      </c>
      <c r="AD90" s="60" t="str">
        <f t="shared" ca="1" si="17"/>
        <v/>
      </c>
    </row>
    <row r="91" spans="3:30" x14ac:dyDescent="0.2">
      <c r="C91" s="6" cm="1">
        <f t="array" aca="1" ref="C91" ca="1">IF(C90=-1,-1,
      IF(C90&lt;income_max_row, C90+1,
          IF(C90=income_max_row, income_total_row,
              IF(C90=income_total_row, "/1",
                  IF(C90="/1", expenses_header_row,
                      IF(C90&lt;expenses_max_row, C90+1,
                          IF(C90=expenses_max_row, expenses_total_row,
                              IF(C90=expenses_total_row, "/2",
                                  IF(C90="/2", savings_header_row,
                                      IF(C90&lt;savings_max_row, C90+1,
                                          IF(C90=savings_max_row, savings_total_row, -1)))))))))))</f>
        <v>-1</v>
      </c>
      <c r="D91" s="7">
        <f t="shared" ca="1" si="0"/>
        <v>-1</v>
      </c>
      <c r="E91" s="6" cm="1">
        <f t="array" aca="1" ref="E91" ca="1">1*OR(row_id=income_header_row, row_id=expenses_header_row, row_id=savings_header_row)</f>
        <v>0</v>
      </c>
      <c r="F91">
        <f t="shared" ca="1" si="1"/>
        <v>0</v>
      </c>
      <c r="G91" cm="1">
        <f t="array" aca="1" ref="G91" ca="1">1*OR(row_id=income_total_row, row_id=expenses_total_row, row_id=savings_total_row)</f>
        <v>0</v>
      </c>
      <c r="H91" s="7">
        <f t="shared" ca="1" si="2"/>
        <v>1</v>
      </c>
      <c r="I91" s="6" t="str" cm="1">
        <f t="array" aca="1" ref="I91" ca="1">IFERROR(INDEX('Budget Planning'!$C:$C, header_row_id),"")</f>
        <v/>
      </c>
      <c r="J91" t="str" cm="1">
        <f t="array" aca="1" ref="J91" ca="1">IFERROR(INDEX('Budget Planning'!$C:$C, row_id),"")</f>
        <v/>
      </c>
      <c r="K91" s="54" t="str" cm="1">
        <f t="array" aca="1" ref="K9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1" s="55" t="str" cm="1">
        <f t="array" aca="1" ref="L91" ca="1">IF(OR(is_header, is_empty), "",
      INDEX('Budget Planning'!$E:$EM, row_id,
                  MATCH(IF(selected_period="Total Year", selected_year, DATE(selected_year, selected_period, 1)), 'Budget Planning'!$E$9:$EM$9, 0)  ))</f>
        <v/>
      </c>
      <c r="M91" s="6" t="str" cm="1">
        <f t="array" aca="1" ref="M91" ca="1">IF(is_cat,
       IF(header_row_id=income_header_row, MATCH(income_min_row, $C:$C, 0),
           IF(header_row_id=expenses_header_row, MATCH(expenses_min_row, $C:$C, 0),
               IF(header_row_id=savings_header_row, MATCH(savings_min_row, $C:$C, 0),""))), "")</f>
        <v/>
      </c>
      <c r="N91" s="7" t="str" cm="1">
        <f t="array" aca="1" ref="N91" ca="1">IF(is_cat,
       IF(header_row_id=income_header_row, MATCH(income_max_row, $C:$C, 0),
           IF(header_row_id=expenses_header_row, MATCH(expenses_max_row, $C:$C, 0),
               IF(header_row_id=savings_header_row, MATCH(savings_max_row, $C:$C, 0),""))), "")</f>
        <v/>
      </c>
      <c r="O91" s="6" t="str">
        <f t="shared" ca="1" si="3"/>
        <v/>
      </c>
      <c r="P91" t="str">
        <f t="shared" ca="1" si="4"/>
        <v/>
      </c>
      <c r="Q91" t="str">
        <f t="shared" ca="1" si="5"/>
        <v/>
      </c>
      <c r="R91" s="7" t="str">
        <f t="shared" ca="1" si="6"/>
        <v/>
      </c>
      <c r="S91" s="6" t="str">
        <f ca="1">IF(is_cat, _xlfn.NUMBERVALUE( tracked_rank &amp; IF(LEN(budget_rank)=1, "0", "") &amp; budget_rank), "")</f>
        <v/>
      </c>
      <c r="T91" t="str">
        <f t="shared" ca="1" si="7"/>
        <v/>
      </c>
      <c r="U91" t="str">
        <f t="shared" ca="1" si="8"/>
        <v/>
      </c>
      <c r="V91" t="str">
        <f t="shared" ca="1" si="9"/>
        <v/>
      </c>
      <c r="W91" s="7" t="str">
        <f t="shared" ca="1" si="10"/>
        <v/>
      </c>
      <c r="X91" s="57">
        <f t="shared" ca="1" si="11"/>
        <v>-1</v>
      </c>
      <c r="Y91" s="58" t="str">
        <f t="shared" ca="1" si="12"/>
        <v/>
      </c>
      <c r="Z91" s="60" t="str">
        <f t="shared" ca="1" si="13"/>
        <v/>
      </c>
      <c r="AA91" s="60" t="str">
        <f t="shared" ca="1" si="14"/>
        <v/>
      </c>
      <c r="AB91" s="59" t="str">
        <f t="shared" ca="1" si="15"/>
        <v/>
      </c>
      <c r="AC91" s="60" t="str">
        <f t="shared" ca="1" si="16"/>
        <v/>
      </c>
      <c r="AD91" s="60" t="str">
        <f t="shared" ca="1" si="17"/>
        <v/>
      </c>
    </row>
    <row r="92" spans="3:30" x14ac:dyDescent="0.2">
      <c r="C92" s="6" cm="1">
        <f t="array" aca="1" ref="C92" ca="1">IF(C91=-1,-1,
      IF(C91&lt;income_max_row, C91+1,
          IF(C91=income_max_row, income_total_row,
              IF(C91=income_total_row, "/1",
                  IF(C91="/1", expenses_header_row,
                      IF(C91&lt;expenses_max_row, C91+1,
                          IF(C91=expenses_max_row, expenses_total_row,
                              IF(C91=expenses_total_row, "/2",
                                  IF(C91="/2", savings_header_row,
                                      IF(C91&lt;savings_max_row, C91+1,
                                          IF(C91=savings_max_row, savings_total_row, -1)))))))))))</f>
        <v>-1</v>
      </c>
      <c r="D92" s="7">
        <f t="shared" ca="1" si="0"/>
        <v>-1</v>
      </c>
      <c r="E92" s="6" cm="1">
        <f t="array" aca="1" ref="E92" ca="1">1*OR(row_id=income_header_row, row_id=expenses_header_row, row_id=savings_header_row)</f>
        <v>0</v>
      </c>
      <c r="F92">
        <f t="shared" ca="1" si="1"/>
        <v>0</v>
      </c>
      <c r="G92" cm="1">
        <f t="array" aca="1" ref="G92" ca="1">1*OR(row_id=income_total_row, row_id=expenses_total_row, row_id=savings_total_row)</f>
        <v>0</v>
      </c>
      <c r="H92" s="7">
        <f t="shared" ca="1" si="2"/>
        <v>1</v>
      </c>
      <c r="I92" s="6" t="str" cm="1">
        <f t="array" aca="1" ref="I92" ca="1">IFERROR(INDEX('Budget Planning'!$C:$C, header_row_id),"")</f>
        <v/>
      </c>
      <c r="J92" t="str" cm="1">
        <f t="array" aca="1" ref="J92" ca="1">IFERROR(INDEX('Budget Planning'!$C:$C, row_id),"")</f>
        <v/>
      </c>
      <c r="K92" s="54" t="str" cm="1">
        <f t="array" aca="1" ref="K9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2" s="55" t="str" cm="1">
        <f t="array" aca="1" ref="L92" ca="1">IF(OR(is_header, is_empty), "",
      INDEX('Budget Planning'!$E:$EM, row_id,
                  MATCH(IF(selected_period="Total Year", selected_year, DATE(selected_year, selected_period, 1)), 'Budget Planning'!$E$9:$EM$9, 0)  ))</f>
        <v/>
      </c>
      <c r="M92" s="6" t="str" cm="1">
        <f t="array" aca="1" ref="M92" ca="1">IF(is_cat,
       IF(header_row_id=income_header_row, MATCH(income_min_row, $C:$C, 0),
           IF(header_row_id=expenses_header_row, MATCH(expenses_min_row, $C:$C, 0),
               IF(header_row_id=savings_header_row, MATCH(savings_min_row, $C:$C, 0),""))), "")</f>
        <v/>
      </c>
      <c r="N92" s="7" t="str" cm="1">
        <f t="array" aca="1" ref="N92" ca="1">IF(is_cat,
       IF(header_row_id=income_header_row, MATCH(income_max_row, $C:$C, 0),
           IF(header_row_id=expenses_header_row, MATCH(expenses_max_row, $C:$C, 0),
               IF(header_row_id=savings_header_row, MATCH(savings_max_row, $C:$C, 0),""))), "")</f>
        <v/>
      </c>
      <c r="O92" s="6" t="str">
        <f t="shared" ca="1" si="3"/>
        <v/>
      </c>
      <c r="P92" t="str">
        <f t="shared" ca="1" si="4"/>
        <v/>
      </c>
      <c r="Q92" t="str">
        <f t="shared" ca="1" si="5"/>
        <v/>
      </c>
      <c r="R92" s="7" t="str">
        <f t="shared" ca="1" si="6"/>
        <v/>
      </c>
      <c r="S92" s="6" t="str">
        <f ca="1">IF(is_cat, _xlfn.NUMBERVALUE( tracked_rank &amp; IF(LEN(budget_rank)=1, "0", "") &amp; budget_rank), "")</f>
        <v/>
      </c>
      <c r="T92" t="str">
        <f t="shared" ca="1" si="7"/>
        <v/>
      </c>
      <c r="U92" t="str">
        <f t="shared" ca="1" si="8"/>
        <v/>
      </c>
      <c r="V92" t="str">
        <f t="shared" ca="1" si="9"/>
        <v/>
      </c>
      <c r="W92" s="7" t="str">
        <f t="shared" ca="1" si="10"/>
        <v/>
      </c>
      <c r="X92" s="57">
        <f t="shared" ca="1" si="11"/>
        <v>-1</v>
      </c>
      <c r="Y92" s="58" t="str">
        <f t="shared" ca="1" si="12"/>
        <v/>
      </c>
      <c r="Z92" s="60" t="str">
        <f t="shared" ca="1" si="13"/>
        <v/>
      </c>
      <c r="AA92" s="60" t="str">
        <f t="shared" ca="1" si="14"/>
        <v/>
      </c>
      <c r="AB92" s="59" t="str">
        <f t="shared" ca="1" si="15"/>
        <v/>
      </c>
      <c r="AC92" s="60" t="str">
        <f t="shared" ca="1" si="16"/>
        <v/>
      </c>
      <c r="AD92" s="60" t="str">
        <f t="shared" ca="1" si="17"/>
        <v/>
      </c>
    </row>
    <row r="93" spans="3:30" x14ac:dyDescent="0.2">
      <c r="C93" s="6" cm="1">
        <f t="array" aca="1" ref="C93" ca="1">IF(C92=-1,-1,
      IF(C92&lt;income_max_row, C92+1,
          IF(C92=income_max_row, income_total_row,
              IF(C92=income_total_row, "/1",
                  IF(C92="/1", expenses_header_row,
                      IF(C92&lt;expenses_max_row, C92+1,
                          IF(C92=expenses_max_row, expenses_total_row,
                              IF(C92=expenses_total_row, "/2",
                                  IF(C92="/2", savings_header_row,
                                      IF(C92&lt;savings_max_row, C92+1,
                                          IF(C92=savings_max_row, savings_total_row, -1)))))))))))</f>
        <v>-1</v>
      </c>
      <c r="D93" s="7">
        <f t="shared" ca="1" si="0"/>
        <v>-1</v>
      </c>
      <c r="E93" s="6" cm="1">
        <f t="array" aca="1" ref="E93" ca="1">1*OR(row_id=income_header_row, row_id=expenses_header_row, row_id=savings_header_row)</f>
        <v>0</v>
      </c>
      <c r="F93">
        <f t="shared" ca="1" si="1"/>
        <v>0</v>
      </c>
      <c r="G93" cm="1">
        <f t="array" aca="1" ref="G93" ca="1">1*OR(row_id=income_total_row, row_id=expenses_total_row, row_id=savings_total_row)</f>
        <v>0</v>
      </c>
      <c r="H93" s="7">
        <f t="shared" ca="1" si="2"/>
        <v>1</v>
      </c>
      <c r="I93" s="6" t="str" cm="1">
        <f t="array" aca="1" ref="I93" ca="1">IFERROR(INDEX('Budget Planning'!$C:$C, header_row_id),"")</f>
        <v/>
      </c>
      <c r="J93" t="str" cm="1">
        <f t="array" aca="1" ref="J93" ca="1">IFERROR(INDEX('Budget Planning'!$C:$C, row_id),"")</f>
        <v/>
      </c>
      <c r="K93" s="54" t="str" cm="1">
        <f t="array" aca="1" ref="K9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3" s="55" t="str" cm="1">
        <f t="array" aca="1" ref="L93" ca="1">IF(OR(is_header, is_empty), "",
      INDEX('Budget Planning'!$E:$EM, row_id,
                  MATCH(IF(selected_period="Total Year", selected_year, DATE(selected_year, selected_period, 1)), 'Budget Planning'!$E$9:$EM$9, 0)  ))</f>
        <v/>
      </c>
      <c r="M93" s="6" t="str" cm="1">
        <f t="array" aca="1" ref="M93" ca="1">IF(is_cat,
       IF(header_row_id=income_header_row, MATCH(income_min_row, $C:$C, 0),
           IF(header_row_id=expenses_header_row, MATCH(expenses_min_row, $C:$C, 0),
               IF(header_row_id=savings_header_row, MATCH(savings_min_row, $C:$C, 0),""))), "")</f>
        <v/>
      </c>
      <c r="N93" s="7" t="str" cm="1">
        <f t="array" aca="1" ref="N93" ca="1">IF(is_cat,
       IF(header_row_id=income_header_row, MATCH(income_max_row, $C:$C, 0),
           IF(header_row_id=expenses_header_row, MATCH(expenses_max_row, $C:$C, 0),
               IF(header_row_id=savings_header_row, MATCH(savings_max_row, $C:$C, 0),""))), "")</f>
        <v/>
      </c>
      <c r="O93" s="6" t="str">
        <f t="shared" ca="1" si="3"/>
        <v/>
      </c>
      <c r="P93" t="str">
        <f t="shared" ca="1" si="4"/>
        <v/>
      </c>
      <c r="Q93" t="str">
        <f t="shared" ca="1" si="5"/>
        <v/>
      </c>
      <c r="R93" s="7" t="str">
        <f t="shared" ca="1" si="6"/>
        <v/>
      </c>
      <c r="S93" s="6" t="str">
        <f ca="1">IF(is_cat, _xlfn.NUMBERVALUE( tracked_rank &amp; IF(LEN(budget_rank)=1, "0", "") &amp; budget_rank), "")</f>
        <v/>
      </c>
      <c r="T93" t="str">
        <f t="shared" ca="1" si="7"/>
        <v/>
      </c>
      <c r="U93" t="str">
        <f t="shared" ca="1" si="8"/>
        <v/>
      </c>
      <c r="V93" t="str">
        <f t="shared" ca="1" si="9"/>
        <v/>
      </c>
      <c r="W93" s="7" t="str">
        <f t="shared" ca="1" si="10"/>
        <v/>
      </c>
      <c r="X93" s="57">
        <f t="shared" ca="1" si="11"/>
        <v>-1</v>
      </c>
      <c r="Y93" s="58" t="str">
        <f t="shared" ca="1" si="12"/>
        <v/>
      </c>
      <c r="Z93" s="60" t="str">
        <f t="shared" ca="1" si="13"/>
        <v/>
      </c>
      <c r="AA93" s="60" t="str">
        <f t="shared" ca="1" si="14"/>
        <v/>
      </c>
      <c r="AB93" s="59" t="str">
        <f t="shared" ca="1" si="15"/>
        <v/>
      </c>
      <c r="AC93" s="60" t="str">
        <f t="shared" ca="1" si="16"/>
        <v/>
      </c>
      <c r="AD93" s="60" t="str">
        <f t="shared" ca="1" si="17"/>
        <v/>
      </c>
    </row>
    <row r="94" spans="3:30" x14ac:dyDescent="0.2">
      <c r="C94" s="6" cm="1">
        <f t="array" aca="1" ref="C94" ca="1">IF(C93=-1,-1,
      IF(C93&lt;income_max_row, C93+1,
          IF(C93=income_max_row, income_total_row,
              IF(C93=income_total_row, "/1",
                  IF(C93="/1", expenses_header_row,
                      IF(C93&lt;expenses_max_row, C93+1,
                          IF(C93=expenses_max_row, expenses_total_row,
                              IF(C93=expenses_total_row, "/2",
                                  IF(C93="/2", savings_header_row,
                                      IF(C93&lt;savings_max_row, C93+1,
                                          IF(C93=savings_max_row, savings_total_row, -1)))))))))))</f>
        <v>-1</v>
      </c>
      <c r="D94" s="7">
        <f t="shared" ca="1" si="0"/>
        <v>-1</v>
      </c>
      <c r="E94" s="6" cm="1">
        <f t="array" aca="1" ref="E94" ca="1">1*OR(row_id=income_header_row, row_id=expenses_header_row, row_id=savings_header_row)</f>
        <v>0</v>
      </c>
      <c r="F94">
        <f t="shared" ca="1" si="1"/>
        <v>0</v>
      </c>
      <c r="G94" cm="1">
        <f t="array" aca="1" ref="G94" ca="1">1*OR(row_id=income_total_row, row_id=expenses_total_row, row_id=savings_total_row)</f>
        <v>0</v>
      </c>
      <c r="H94" s="7">
        <f t="shared" ca="1" si="2"/>
        <v>1</v>
      </c>
      <c r="I94" s="6" t="str" cm="1">
        <f t="array" aca="1" ref="I94" ca="1">IFERROR(INDEX('Budget Planning'!$C:$C, header_row_id),"")</f>
        <v/>
      </c>
      <c r="J94" t="str" cm="1">
        <f t="array" aca="1" ref="J94" ca="1">IFERROR(INDEX('Budget Planning'!$C:$C, row_id),"")</f>
        <v/>
      </c>
      <c r="K94" s="54" t="str" cm="1">
        <f t="array" aca="1" ref="K9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4" s="55" t="str" cm="1">
        <f t="array" aca="1" ref="L94" ca="1">IF(OR(is_header, is_empty), "",
      INDEX('Budget Planning'!$E:$EM, row_id,
                  MATCH(IF(selected_period="Total Year", selected_year, DATE(selected_year, selected_period, 1)), 'Budget Planning'!$E$9:$EM$9, 0)  ))</f>
        <v/>
      </c>
      <c r="M94" s="6" t="str" cm="1">
        <f t="array" aca="1" ref="M94" ca="1">IF(is_cat,
       IF(header_row_id=income_header_row, MATCH(income_min_row, $C:$C, 0),
           IF(header_row_id=expenses_header_row, MATCH(expenses_min_row, $C:$C, 0),
               IF(header_row_id=savings_header_row, MATCH(savings_min_row, $C:$C, 0),""))), "")</f>
        <v/>
      </c>
      <c r="N94" s="7" t="str" cm="1">
        <f t="array" aca="1" ref="N94" ca="1">IF(is_cat,
       IF(header_row_id=income_header_row, MATCH(income_max_row, $C:$C, 0),
           IF(header_row_id=expenses_header_row, MATCH(expenses_max_row, $C:$C, 0),
               IF(header_row_id=savings_header_row, MATCH(savings_max_row, $C:$C, 0),""))), "")</f>
        <v/>
      </c>
      <c r="O94" s="6" t="str">
        <f t="shared" ca="1" si="3"/>
        <v/>
      </c>
      <c r="P94" t="str">
        <f t="shared" ca="1" si="4"/>
        <v/>
      </c>
      <c r="Q94" t="str">
        <f t="shared" ca="1" si="5"/>
        <v/>
      </c>
      <c r="R94" s="7" t="str">
        <f t="shared" ca="1" si="6"/>
        <v/>
      </c>
      <c r="S94" s="6" t="str">
        <f ca="1">IF(is_cat, _xlfn.NUMBERVALUE( tracked_rank &amp; IF(LEN(budget_rank)=1, "0", "") &amp; budget_rank), "")</f>
        <v/>
      </c>
      <c r="T94" t="str">
        <f t="shared" ca="1" si="7"/>
        <v/>
      </c>
      <c r="U94" t="str">
        <f t="shared" ca="1" si="8"/>
        <v/>
      </c>
      <c r="V94" t="str">
        <f t="shared" ca="1" si="9"/>
        <v/>
      </c>
      <c r="W94" s="7" t="str">
        <f t="shared" ca="1" si="10"/>
        <v/>
      </c>
      <c r="X94" s="57">
        <f t="shared" ca="1" si="11"/>
        <v>-1</v>
      </c>
      <c r="Y94" s="58" t="str">
        <f t="shared" ca="1" si="12"/>
        <v/>
      </c>
      <c r="Z94" s="60" t="str">
        <f t="shared" ca="1" si="13"/>
        <v/>
      </c>
      <c r="AA94" s="60" t="str">
        <f t="shared" ca="1" si="14"/>
        <v/>
      </c>
      <c r="AB94" s="59" t="str">
        <f t="shared" ca="1" si="15"/>
        <v/>
      </c>
      <c r="AC94" s="60" t="str">
        <f t="shared" ca="1" si="16"/>
        <v/>
      </c>
      <c r="AD94" s="60" t="str">
        <f t="shared" ca="1" si="17"/>
        <v/>
      </c>
    </row>
    <row r="95" spans="3:30" x14ac:dyDescent="0.2">
      <c r="C95" s="6" cm="1">
        <f t="array" aca="1" ref="C95" ca="1">IF(C94=-1,-1,
      IF(C94&lt;income_max_row, C94+1,
          IF(C94=income_max_row, income_total_row,
              IF(C94=income_total_row, "/1",
                  IF(C94="/1", expenses_header_row,
                      IF(C94&lt;expenses_max_row, C94+1,
                          IF(C94=expenses_max_row, expenses_total_row,
                              IF(C94=expenses_total_row, "/2",
                                  IF(C94="/2", savings_header_row,
                                      IF(C94&lt;savings_max_row, C94+1,
                                          IF(C94=savings_max_row, savings_total_row, -1)))))))))))</f>
        <v>-1</v>
      </c>
      <c r="D95" s="7">
        <f t="shared" ca="1" si="0"/>
        <v>-1</v>
      </c>
      <c r="E95" s="6" cm="1">
        <f t="array" aca="1" ref="E95" ca="1">1*OR(row_id=income_header_row, row_id=expenses_header_row, row_id=savings_header_row)</f>
        <v>0</v>
      </c>
      <c r="F95">
        <f t="shared" ca="1" si="1"/>
        <v>0</v>
      </c>
      <c r="G95" cm="1">
        <f t="array" aca="1" ref="G95" ca="1">1*OR(row_id=income_total_row, row_id=expenses_total_row, row_id=savings_total_row)</f>
        <v>0</v>
      </c>
      <c r="H95" s="7">
        <f t="shared" ca="1" si="2"/>
        <v>1</v>
      </c>
      <c r="I95" s="6" t="str" cm="1">
        <f t="array" aca="1" ref="I95" ca="1">IFERROR(INDEX('Budget Planning'!$C:$C, header_row_id),"")</f>
        <v/>
      </c>
      <c r="J95" t="str" cm="1">
        <f t="array" aca="1" ref="J95" ca="1">IFERROR(INDEX('Budget Planning'!$C:$C, row_id),"")</f>
        <v/>
      </c>
      <c r="K95" s="54" t="str" cm="1">
        <f t="array" aca="1" ref="K9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5" s="55" t="str" cm="1">
        <f t="array" aca="1" ref="L95" ca="1">IF(OR(is_header, is_empty), "",
      INDEX('Budget Planning'!$E:$EM, row_id,
                  MATCH(IF(selected_period="Total Year", selected_year, DATE(selected_year, selected_period, 1)), 'Budget Planning'!$E$9:$EM$9, 0)  ))</f>
        <v/>
      </c>
      <c r="M95" s="6" t="str" cm="1">
        <f t="array" aca="1" ref="M95" ca="1">IF(is_cat,
       IF(header_row_id=income_header_row, MATCH(income_min_row, $C:$C, 0),
           IF(header_row_id=expenses_header_row, MATCH(expenses_min_row, $C:$C, 0),
               IF(header_row_id=savings_header_row, MATCH(savings_min_row, $C:$C, 0),""))), "")</f>
        <v/>
      </c>
      <c r="N95" s="7" t="str" cm="1">
        <f t="array" aca="1" ref="N95" ca="1">IF(is_cat,
       IF(header_row_id=income_header_row, MATCH(income_max_row, $C:$C, 0),
           IF(header_row_id=expenses_header_row, MATCH(expenses_max_row, $C:$C, 0),
               IF(header_row_id=savings_header_row, MATCH(savings_max_row, $C:$C, 0),""))), "")</f>
        <v/>
      </c>
      <c r="O95" s="6" t="str">
        <f t="shared" ca="1" si="3"/>
        <v/>
      </c>
      <c r="P95" t="str">
        <f t="shared" ca="1" si="4"/>
        <v/>
      </c>
      <c r="Q95" t="str">
        <f t="shared" ca="1" si="5"/>
        <v/>
      </c>
      <c r="R95" s="7" t="str">
        <f t="shared" ca="1" si="6"/>
        <v/>
      </c>
      <c r="S95" s="6" t="str">
        <f ca="1">IF(is_cat, _xlfn.NUMBERVALUE( tracked_rank &amp; IF(LEN(budget_rank)=1, "0", "") &amp; budget_rank), "")</f>
        <v/>
      </c>
      <c r="T95" t="str">
        <f t="shared" ca="1" si="7"/>
        <v/>
      </c>
      <c r="U95" t="str">
        <f t="shared" ca="1" si="8"/>
        <v/>
      </c>
      <c r="V95" t="str">
        <f t="shared" ca="1" si="9"/>
        <v/>
      </c>
      <c r="W95" s="7" t="str">
        <f t="shared" ca="1" si="10"/>
        <v/>
      </c>
      <c r="X95" s="57">
        <f t="shared" ca="1" si="11"/>
        <v>-1</v>
      </c>
      <c r="Y95" s="58" t="str">
        <f t="shared" ca="1" si="12"/>
        <v/>
      </c>
      <c r="Z95" s="60" t="str">
        <f t="shared" ca="1" si="13"/>
        <v/>
      </c>
      <c r="AA95" s="60" t="str">
        <f t="shared" ca="1" si="14"/>
        <v/>
      </c>
      <c r="AB95" s="59" t="str">
        <f t="shared" ca="1" si="15"/>
        <v/>
      </c>
      <c r="AC95" s="60" t="str">
        <f t="shared" ca="1" si="16"/>
        <v/>
      </c>
      <c r="AD95" s="60" t="str">
        <f t="shared" ca="1" si="17"/>
        <v/>
      </c>
    </row>
    <row r="96" spans="3:30" x14ac:dyDescent="0.2">
      <c r="C96" s="6" cm="1">
        <f t="array" aca="1" ref="C96" ca="1">IF(C95=-1,-1,
      IF(C95&lt;income_max_row, C95+1,
          IF(C95=income_max_row, income_total_row,
              IF(C95=income_total_row, "/1",
                  IF(C95="/1", expenses_header_row,
                      IF(C95&lt;expenses_max_row, C95+1,
                          IF(C95=expenses_max_row, expenses_total_row,
                              IF(C95=expenses_total_row, "/2",
                                  IF(C95="/2", savings_header_row,
                                      IF(C95&lt;savings_max_row, C95+1,
                                          IF(C95=savings_max_row, savings_total_row, -1)))))))))))</f>
        <v>-1</v>
      </c>
      <c r="D96" s="7">
        <f t="shared" ca="1" si="0"/>
        <v>-1</v>
      </c>
      <c r="E96" s="6" cm="1">
        <f t="array" aca="1" ref="E96" ca="1">1*OR(row_id=income_header_row, row_id=expenses_header_row, row_id=savings_header_row)</f>
        <v>0</v>
      </c>
      <c r="F96">
        <f t="shared" ca="1" si="1"/>
        <v>0</v>
      </c>
      <c r="G96" cm="1">
        <f t="array" aca="1" ref="G96" ca="1">1*OR(row_id=income_total_row, row_id=expenses_total_row, row_id=savings_total_row)</f>
        <v>0</v>
      </c>
      <c r="H96" s="7">
        <f t="shared" ca="1" si="2"/>
        <v>1</v>
      </c>
      <c r="I96" s="6" t="str" cm="1">
        <f t="array" aca="1" ref="I96" ca="1">IFERROR(INDEX('Budget Planning'!$C:$C, header_row_id),"")</f>
        <v/>
      </c>
      <c r="J96" t="str" cm="1">
        <f t="array" aca="1" ref="J96" ca="1">IFERROR(INDEX('Budget Planning'!$C:$C, row_id),"")</f>
        <v/>
      </c>
      <c r="K96" s="54" t="str" cm="1">
        <f t="array" aca="1" ref="K9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6" s="55" t="str" cm="1">
        <f t="array" aca="1" ref="L96" ca="1">IF(OR(is_header, is_empty), "",
      INDEX('Budget Planning'!$E:$EM, row_id,
                  MATCH(IF(selected_period="Total Year", selected_year, DATE(selected_year, selected_period, 1)), 'Budget Planning'!$E$9:$EM$9, 0)  ))</f>
        <v/>
      </c>
      <c r="M96" s="6" t="str" cm="1">
        <f t="array" aca="1" ref="M96" ca="1">IF(is_cat,
       IF(header_row_id=income_header_row, MATCH(income_min_row, $C:$C, 0),
           IF(header_row_id=expenses_header_row, MATCH(expenses_min_row, $C:$C, 0),
               IF(header_row_id=savings_header_row, MATCH(savings_min_row, $C:$C, 0),""))), "")</f>
        <v/>
      </c>
      <c r="N96" s="7" t="str" cm="1">
        <f t="array" aca="1" ref="N96" ca="1">IF(is_cat,
       IF(header_row_id=income_header_row, MATCH(income_max_row, $C:$C, 0),
           IF(header_row_id=expenses_header_row, MATCH(expenses_max_row, $C:$C, 0),
               IF(header_row_id=savings_header_row, MATCH(savings_max_row, $C:$C, 0),""))), "")</f>
        <v/>
      </c>
      <c r="O96" s="6" t="str">
        <f t="shared" ca="1" si="3"/>
        <v/>
      </c>
      <c r="P96" t="str">
        <f t="shared" ca="1" si="4"/>
        <v/>
      </c>
      <c r="Q96" t="str">
        <f t="shared" ca="1" si="5"/>
        <v/>
      </c>
      <c r="R96" s="7" t="str">
        <f t="shared" ca="1" si="6"/>
        <v/>
      </c>
      <c r="S96" s="6" t="str">
        <f ca="1">IF(is_cat, _xlfn.NUMBERVALUE( tracked_rank &amp; IF(LEN(budget_rank)=1, "0", "") &amp; budget_rank), "")</f>
        <v/>
      </c>
      <c r="T96" t="str">
        <f t="shared" ca="1" si="7"/>
        <v/>
      </c>
      <c r="U96" t="str">
        <f t="shared" ca="1" si="8"/>
        <v/>
      </c>
      <c r="V96" t="str">
        <f t="shared" ca="1" si="9"/>
        <v/>
      </c>
      <c r="W96" s="7" t="str">
        <f t="shared" ca="1" si="10"/>
        <v/>
      </c>
      <c r="X96" s="57">
        <f t="shared" ca="1" si="11"/>
        <v>-1</v>
      </c>
      <c r="Y96" s="58" t="str">
        <f t="shared" ca="1" si="12"/>
        <v/>
      </c>
      <c r="Z96" s="60" t="str">
        <f t="shared" ca="1" si="13"/>
        <v/>
      </c>
      <c r="AA96" s="60" t="str">
        <f t="shared" ca="1" si="14"/>
        <v/>
      </c>
      <c r="AB96" s="59" t="str">
        <f t="shared" ca="1" si="15"/>
        <v/>
      </c>
      <c r="AC96" s="60" t="str">
        <f t="shared" ca="1" si="16"/>
        <v/>
      </c>
      <c r="AD96" s="60" t="str">
        <f t="shared" ca="1" si="17"/>
        <v/>
      </c>
    </row>
    <row r="97" spans="3:30" x14ac:dyDescent="0.2">
      <c r="C97" s="6" cm="1">
        <f t="array" aca="1" ref="C97" ca="1">IF(C96=-1,-1,
      IF(C96&lt;income_max_row, C96+1,
          IF(C96=income_max_row, income_total_row,
              IF(C96=income_total_row, "/1",
                  IF(C96="/1", expenses_header_row,
                      IF(C96&lt;expenses_max_row, C96+1,
                          IF(C96=expenses_max_row, expenses_total_row,
                              IF(C96=expenses_total_row, "/2",
                                  IF(C96="/2", savings_header_row,
                                      IF(C96&lt;savings_max_row, C96+1,
                                          IF(C96=savings_max_row, savings_total_row, -1)))))))))))</f>
        <v>-1</v>
      </c>
      <c r="D97" s="7">
        <f t="shared" ca="1" si="0"/>
        <v>-1</v>
      </c>
      <c r="E97" s="6" cm="1">
        <f t="array" aca="1" ref="E97" ca="1">1*OR(row_id=income_header_row, row_id=expenses_header_row, row_id=savings_header_row)</f>
        <v>0</v>
      </c>
      <c r="F97">
        <f t="shared" ca="1" si="1"/>
        <v>0</v>
      </c>
      <c r="G97" cm="1">
        <f t="array" aca="1" ref="G97" ca="1">1*OR(row_id=income_total_row, row_id=expenses_total_row, row_id=savings_total_row)</f>
        <v>0</v>
      </c>
      <c r="H97" s="7">
        <f t="shared" ca="1" si="2"/>
        <v>1</v>
      </c>
      <c r="I97" s="6" t="str" cm="1">
        <f t="array" aca="1" ref="I97" ca="1">IFERROR(INDEX('Budget Planning'!$C:$C, header_row_id),"")</f>
        <v/>
      </c>
      <c r="J97" t="str" cm="1">
        <f t="array" aca="1" ref="J97" ca="1">IFERROR(INDEX('Budget Planning'!$C:$C, row_id),"")</f>
        <v/>
      </c>
      <c r="K97" s="54" t="str" cm="1">
        <f t="array" aca="1" ref="K9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7" s="55" t="str" cm="1">
        <f t="array" aca="1" ref="L97" ca="1">IF(OR(is_header, is_empty), "",
      INDEX('Budget Planning'!$E:$EM, row_id,
                  MATCH(IF(selected_period="Total Year", selected_year, DATE(selected_year, selected_period, 1)), 'Budget Planning'!$E$9:$EM$9, 0)  ))</f>
        <v/>
      </c>
      <c r="M97" s="6" t="str" cm="1">
        <f t="array" aca="1" ref="M97" ca="1">IF(is_cat,
       IF(header_row_id=income_header_row, MATCH(income_min_row, $C:$C, 0),
           IF(header_row_id=expenses_header_row, MATCH(expenses_min_row, $C:$C, 0),
               IF(header_row_id=savings_header_row, MATCH(savings_min_row, $C:$C, 0),""))), "")</f>
        <v/>
      </c>
      <c r="N97" s="7" t="str" cm="1">
        <f t="array" aca="1" ref="N97" ca="1">IF(is_cat,
       IF(header_row_id=income_header_row, MATCH(income_max_row, $C:$C, 0),
           IF(header_row_id=expenses_header_row, MATCH(expenses_max_row, $C:$C, 0),
               IF(header_row_id=savings_header_row, MATCH(savings_max_row, $C:$C, 0),""))), "")</f>
        <v/>
      </c>
      <c r="O97" s="6" t="str">
        <f t="shared" ca="1" si="3"/>
        <v/>
      </c>
      <c r="P97" t="str">
        <f t="shared" ca="1" si="4"/>
        <v/>
      </c>
      <c r="Q97" t="str">
        <f t="shared" ca="1" si="5"/>
        <v/>
      </c>
      <c r="R97" s="7" t="str">
        <f t="shared" ca="1" si="6"/>
        <v/>
      </c>
      <c r="S97" s="6" t="str">
        <f ca="1">IF(is_cat, _xlfn.NUMBERVALUE( tracked_rank &amp; IF(LEN(budget_rank)=1, "0", "") &amp; budget_rank), "")</f>
        <v/>
      </c>
      <c r="T97" t="str">
        <f t="shared" ca="1" si="7"/>
        <v/>
      </c>
      <c r="U97" t="str">
        <f t="shared" ca="1" si="8"/>
        <v/>
      </c>
      <c r="V97" t="str">
        <f t="shared" ca="1" si="9"/>
        <v/>
      </c>
      <c r="W97" s="7" t="str">
        <f t="shared" ca="1" si="10"/>
        <v/>
      </c>
      <c r="X97" s="57">
        <f t="shared" ca="1" si="11"/>
        <v>-1</v>
      </c>
      <c r="Y97" s="58" t="str">
        <f t="shared" ca="1" si="12"/>
        <v/>
      </c>
      <c r="Z97" s="60" t="str">
        <f t="shared" ca="1" si="13"/>
        <v/>
      </c>
      <c r="AA97" s="60" t="str">
        <f t="shared" ca="1" si="14"/>
        <v/>
      </c>
      <c r="AB97" s="59" t="str">
        <f t="shared" ca="1" si="15"/>
        <v/>
      </c>
      <c r="AC97" s="60" t="str">
        <f t="shared" ca="1" si="16"/>
        <v/>
      </c>
      <c r="AD97" s="60" t="str">
        <f t="shared" ca="1" si="17"/>
        <v/>
      </c>
    </row>
    <row r="98" spans="3:30" x14ac:dyDescent="0.2">
      <c r="C98" s="6" cm="1">
        <f t="array" aca="1" ref="C98" ca="1">IF(C97=-1,-1,
      IF(C97&lt;income_max_row, C97+1,
          IF(C97=income_max_row, income_total_row,
              IF(C97=income_total_row, "/1",
                  IF(C97="/1", expenses_header_row,
                      IF(C97&lt;expenses_max_row, C97+1,
                          IF(C97=expenses_max_row, expenses_total_row,
                              IF(C97=expenses_total_row, "/2",
                                  IF(C97="/2", savings_header_row,
                                      IF(C97&lt;savings_max_row, C97+1,
                                          IF(C97=savings_max_row, savings_total_row, -1)))))))))))</f>
        <v>-1</v>
      </c>
      <c r="D98" s="7">
        <f t="shared" ca="1" si="0"/>
        <v>-1</v>
      </c>
      <c r="E98" s="6" cm="1">
        <f t="array" aca="1" ref="E98" ca="1">1*OR(row_id=income_header_row, row_id=expenses_header_row, row_id=savings_header_row)</f>
        <v>0</v>
      </c>
      <c r="F98">
        <f t="shared" ca="1" si="1"/>
        <v>0</v>
      </c>
      <c r="G98" cm="1">
        <f t="array" aca="1" ref="G98" ca="1">1*OR(row_id=income_total_row, row_id=expenses_total_row, row_id=savings_total_row)</f>
        <v>0</v>
      </c>
      <c r="H98" s="7">
        <f t="shared" ca="1" si="2"/>
        <v>1</v>
      </c>
      <c r="I98" s="6" t="str" cm="1">
        <f t="array" aca="1" ref="I98" ca="1">IFERROR(INDEX('Budget Planning'!$C:$C, header_row_id),"")</f>
        <v/>
      </c>
      <c r="J98" t="str" cm="1">
        <f t="array" aca="1" ref="J98" ca="1">IFERROR(INDEX('Budget Planning'!$C:$C, row_id),"")</f>
        <v/>
      </c>
      <c r="K98" s="54" t="str" cm="1">
        <f t="array" aca="1" ref="K9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8" s="55" t="str" cm="1">
        <f t="array" aca="1" ref="L98" ca="1">IF(OR(is_header, is_empty), "",
      INDEX('Budget Planning'!$E:$EM, row_id,
                  MATCH(IF(selected_period="Total Year", selected_year, DATE(selected_year, selected_period, 1)), 'Budget Planning'!$E$9:$EM$9, 0)  ))</f>
        <v/>
      </c>
      <c r="M98" s="6" t="str" cm="1">
        <f t="array" aca="1" ref="M98" ca="1">IF(is_cat,
       IF(header_row_id=income_header_row, MATCH(income_min_row, $C:$C, 0),
           IF(header_row_id=expenses_header_row, MATCH(expenses_min_row, $C:$C, 0),
               IF(header_row_id=savings_header_row, MATCH(savings_min_row, $C:$C, 0),""))), "")</f>
        <v/>
      </c>
      <c r="N98" s="7" t="str" cm="1">
        <f t="array" aca="1" ref="N98" ca="1">IF(is_cat,
       IF(header_row_id=income_header_row, MATCH(income_max_row, $C:$C, 0),
           IF(header_row_id=expenses_header_row, MATCH(expenses_max_row, $C:$C, 0),
               IF(header_row_id=savings_header_row, MATCH(savings_max_row, $C:$C, 0),""))), "")</f>
        <v/>
      </c>
      <c r="O98" s="6" t="str">
        <f t="shared" ca="1" si="3"/>
        <v/>
      </c>
      <c r="P98" t="str">
        <f t="shared" ca="1" si="4"/>
        <v/>
      </c>
      <c r="Q98" t="str">
        <f t="shared" ca="1" si="5"/>
        <v/>
      </c>
      <c r="R98" s="7" t="str">
        <f t="shared" ca="1" si="6"/>
        <v/>
      </c>
      <c r="S98" s="6" t="str">
        <f ca="1">IF(is_cat, _xlfn.NUMBERVALUE( tracked_rank &amp; IF(LEN(budget_rank)=1, "0", "") &amp; budget_rank), "")</f>
        <v/>
      </c>
      <c r="T98" t="str">
        <f t="shared" ca="1" si="7"/>
        <v/>
      </c>
      <c r="U98" t="str">
        <f t="shared" ca="1" si="8"/>
        <v/>
      </c>
      <c r="V98" t="str">
        <f t="shared" ca="1" si="9"/>
        <v/>
      </c>
      <c r="W98" s="7" t="str">
        <f t="shared" ca="1" si="10"/>
        <v/>
      </c>
      <c r="X98" s="57">
        <f t="shared" ca="1" si="11"/>
        <v>-1</v>
      </c>
      <c r="Y98" s="58" t="str">
        <f t="shared" ca="1" si="12"/>
        <v/>
      </c>
      <c r="Z98" s="60" t="str">
        <f t="shared" ca="1" si="13"/>
        <v/>
      </c>
      <c r="AA98" s="60" t="str">
        <f t="shared" ca="1" si="14"/>
        <v/>
      </c>
      <c r="AB98" s="59" t="str">
        <f t="shared" ca="1" si="15"/>
        <v/>
      </c>
      <c r="AC98" s="60" t="str">
        <f t="shared" ca="1" si="16"/>
        <v/>
      </c>
      <c r="AD98" s="60" t="str">
        <f t="shared" ca="1" si="17"/>
        <v/>
      </c>
    </row>
    <row r="99" spans="3:30" x14ac:dyDescent="0.2">
      <c r="C99" s="6" cm="1">
        <f t="array" aca="1" ref="C99" ca="1">IF(C98=-1,-1,
      IF(C98&lt;income_max_row, C98+1,
          IF(C98=income_max_row, income_total_row,
              IF(C98=income_total_row, "/1",
                  IF(C98="/1", expenses_header_row,
                      IF(C98&lt;expenses_max_row, C98+1,
                          IF(C98=expenses_max_row, expenses_total_row,
                              IF(C98=expenses_total_row, "/2",
                                  IF(C98="/2", savings_header_row,
                                      IF(C98&lt;savings_max_row, C98+1,
                                          IF(C98=savings_max_row, savings_total_row, -1)))))))))))</f>
        <v>-1</v>
      </c>
      <c r="D99" s="7">
        <f t="shared" ca="1" si="0"/>
        <v>-1</v>
      </c>
      <c r="E99" s="6" cm="1">
        <f t="array" aca="1" ref="E99" ca="1">1*OR(row_id=income_header_row, row_id=expenses_header_row, row_id=savings_header_row)</f>
        <v>0</v>
      </c>
      <c r="F99">
        <f t="shared" ca="1" si="1"/>
        <v>0</v>
      </c>
      <c r="G99" cm="1">
        <f t="array" aca="1" ref="G99" ca="1">1*OR(row_id=income_total_row, row_id=expenses_total_row, row_id=savings_total_row)</f>
        <v>0</v>
      </c>
      <c r="H99" s="7">
        <f t="shared" ca="1" si="2"/>
        <v>1</v>
      </c>
      <c r="I99" s="6" t="str" cm="1">
        <f t="array" aca="1" ref="I99" ca="1">IFERROR(INDEX('Budget Planning'!$C:$C, header_row_id),"")</f>
        <v/>
      </c>
      <c r="J99" t="str" cm="1">
        <f t="array" aca="1" ref="J99" ca="1">IFERROR(INDEX('Budget Planning'!$C:$C, row_id),"")</f>
        <v/>
      </c>
      <c r="K99" s="54" t="str" cm="1">
        <f t="array" aca="1" ref="K9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9" s="55" t="str" cm="1">
        <f t="array" aca="1" ref="L99" ca="1">IF(OR(is_header, is_empty), "",
      INDEX('Budget Planning'!$E:$EM, row_id,
                  MATCH(IF(selected_period="Total Year", selected_year, DATE(selected_year, selected_period, 1)), 'Budget Planning'!$E$9:$EM$9, 0)  ))</f>
        <v/>
      </c>
      <c r="M99" s="6" t="str" cm="1">
        <f t="array" aca="1" ref="M99" ca="1">IF(is_cat,
       IF(header_row_id=income_header_row, MATCH(income_min_row, $C:$C, 0),
           IF(header_row_id=expenses_header_row, MATCH(expenses_min_row, $C:$C, 0),
               IF(header_row_id=savings_header_row, MATCH(savings_min_row, $C:$C, 0),""))), "")</f>
        <v/>
      </c>
      <c r="N99" s="7" t="str" cm="1">
        <f t="array" aca="1" ref="N99" ca="1">IF(is_cat,
       IF(header_row_id=income_header_row, MATCH(income_max_row, $C:$C, 0),
           IF(header_row_id=expenses_header_row, MATCH(expenses_max_row, $C:$C, 0),
               IF(header_row_id=savings_header_row, MATCH(savings_max_row, $C:$C, 0),""))), "")</f>
        <v/>
      </c>
      <c r="O99" s="6" t="str">
        <f t="shared" ca="1" si="3"/>
        <v/>
      </c>
      <c r="P99" t="str">
        <f t="shared" ca="1" si="4"/>
        <v/>
      </c>
      <c r="Q99" t="str">
        <f t="shared" ca="1" si="5"/>
        <v/>
      </c>
      <c r="R99" s="7" t="str">
        <f t="shared" ca="1" si="6"/>
        <v/>
      </c>
      <c r="S99" s="6" t="str">
        <f ca="1">IF(is_cat, _xlfn.NUMBERVALUE( tracked_rank &amp; IF(LEN(budget_rank)=1, "0", "") &amp; budget_rank), "")</f>
        <v/>
      </c>
      <c r="T99" t="str">
        <f t="shared" ca="1" si="7"/>
        <v/>
      </c>
      <c r="U99" t="str">
        <f t="shared" ca="1" si="8"/>
        <v/>
      </c>
      <c r="V99" t="str">
        <f t="shared" ca="1" si="9"/>
        <v/>
      </c>
      <c r="W99" s="7" t="str">
        <f t="shared" ca="1" si="10"/>
        <v/>
      </c>
      <c r="X99" s="57">
        <f t="shared" ca="1" si="11"/>
        <v>-1</v>
      </c>
      <c r="Y99" s="58" t="str">
        <f t="shared" ca="1" si="12"/>
        <v/>
      </c>
      <c r="Z99" s="60" t="str">
        <f t="shared" ca="1" si="13"/>
        <v/>
      </c>
      <c r="AA99" s="60" t="str">
        <f t="shared" ca="1" si="14"/>
        <v/>
      </c>
      <c r="AB99" s="59" t="str">
        <f t="shared" ca="1" si="15"/>
        <v/>
      </c>
      <c r="AC99" s="60" t="str">
        <f t="shared" ca="1" si="16"/>
        <v/>
      </c>
      <c r="AD99" s="60" t="str">
        <f t="shared" ca="1" si="17"/>
        <v/>
      </c>
    </row>
    <row r="100" spans="3:30" x14ac:dyDescent="0.2">
      <c r="C100" s="6" cm="1">
        <f t="array" aca="1" ref="C100" ca="1">IF(C99=-1,-1,
      IF(C99&lt;income_max_row, C99+1,
          IF(C99=income_max_row, income_total_row,
              IF(C99=income_total_row, "/1",
                  IF(C99="/1", expenses_header_row,
                      IF(C99&lt;expenses_max_row, C99+1,
                          IF(C99=expenses_max_row, expenses_total_row,
                              IF(C99=expenses_total_row, "/2",
                                  IF(C99="/2", savings_header_row,
                                      IF(C99&lt;savings_max_row, C99+1,
                                          IF(C99=savings_max_row, savings_total_row, -1)))))))))))</f>
        <v>-1</v>
      </c>
      <c r="D100" s="7">
        <f t="shared" ca="1" si="0"/>
        <v>-1</v>
      </c>
      <c r="E100" s="6" cm="1">
        <f t="array" aca="1" ref="E100" ca="1">1*OR(row_id=income_header_row, row_id=expenses_header_row, row_id=savings_header_row)</f>
        <v>0</v>
      </c>
      <c r="F100">
        <f t="shared" ca="1" si="1"/>
        <v>0</v>
      </c>
      <c r="G100" cm="1">
        <f t="array" aca="1" ref="G100" ca="1">1*OR(row_id=income_total_row, row_id=expenses_total_row, row_id=savings_total_row)</f>
        <v>0</v>
      </c>
      <c r="H100" s="7">
        <f t="shared" ca="1" si="2"/>
        <v>1</v>
      </c>
      <c r="I100" s="6" t="str" cm="1">
        <f t="array" aca="1" ref="I100" ca="1">IFERROR(INDEX('Budget Planning'!$C:$C, header_row_id),"")</f>
        <v/>
      </c>
      <c r="J100" t="str" cm="1">
        <f t="array" aca="1" ref="J100" ca="1">IFERROR(INDEX('Budget Planning'!$C:$C, row_id),"")</f>
        <v/>
      </c>
      <c r="K100" s="54" t="str" cm="1">
        <f t="array" aca="1" ref="K10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0" s="55" t="str" cm="1">
        <f t="array" aca="1" ref="L100" ca="1">IF(OR(is_header, is_empty), "",
      INDEX('Budget Planning'!$E:$EM, row_id,
                  MATCH(IF(selected_period="Total Year", selected_year, DATE(selected_year, selected_period, 1)), 'Budget Planning'!$E$9:$EM$9, 0)  ))</f>
        <v/>
      </c>
      <c r="M100" s="6" t="str" cm="1">
        <f t="array" aca="1" ref="M100" ca="1">IF(is_cat,
       IF(header_row_id=income_header_row, MATCH(income_min_row, $C:$C, 0),
           IF(header_row_id=expenses_header_row, MATCH(expenses_min_row, $C:$C, 0),
               IF(header_row_id=savings_header_row, MATCH(savings_min_row, $C:$C, 0),""))), "")</f>
        <v/>
      </c>
      <c r="N100" s="7" t="str" cm="1">
        <f t="array" aca="1" ref="N100" ca="1">IF(is_cat,
       IF(header_row_id=income_header_row, MATCH(income_max_row, $C:$C, 0),
           IF(header_row_id=expenses_header_row, MATCH(expenses_max_row, $C:$C, 0),
               IF(header_row_id=savings_header_row, MATCH(savings_max_row, $C:$C, 0),""))), "")</f>
        <v/>
      </c>
      <c r="O100" s="6" t="str">
        <f t="shared" ca="1" si="3"/>
        <v/>
      </c>
      <c r="P100" t="str">
        <f t="shared" ca="1" si="4"/>
        <v/>
      </c>
      <c r="Q100" t="str">
        <f t="shared" ca="1" si="5"/>
        <v/>
      </c>
      <c r="R100" s="7" t="str">
        <f t="shared" ca="1" si="6"/>
        <v/>
      </c>
      <c r="S100" s="6" t="str">
        <f ca="1">IF(is_cat, _xlfn.NUMBERVALUE( tracked_rank &amp; IF(LEN(budget_rank)=1, "0", "") &amp; budget_rank), "")</f>
        <v/>
      </c>
      <c r="T100" t="str">
        <f t="shared" ca="1" si="7"/>
        <v/>
      </c>
      <c r="U100" t="str">
        <f t="shared" ca="1" si="8"/>
        <v/>
      </c>
      <c r="V100" t="str">
        <f t="shared" ca="1" si="9"/>
        <v/>
      </c>
      <c r="W100" s="7" t="str">
        <f t="shared" ca="1" si="10"/>
        <v/>
      </c>
      <c r="X100" s="57">
        <f t="shared" ca="1" si="11"/>
        <v>-1</v>
      </c>
      <c r="Y100" s="58" t="str">
        <f t="shared" ca="1" si="12"/>
        <v/>
      </c>
      <c r="Z100" s="60" t="str">
        <f t="shared" ca="1" si="13"/>
        <v/>
      </c>
      <c r="AA100" s="60" t="str">
        <f t="shared" ca="1" si="14"/>
        <v/>
      </c>
      <c r="AB100" s="59" t="str">
        <f t="shared" ca="1" si="15"/>
        <v/>
      </c>
      <c r="AC100" s="60" t="str">
        <f t="shared" ca="1" si="16"/>
        <v/>
      </c>
      <c r="AD100" s="60" t="str">
        <f t="shared" ca="1" si="17"/>
        <v/>
      </c>
    </row>
    <row r="101" spans="3:30" x14ac:dyDescent="0.2">
      <c r="C101" s="6" cm="1">
        <f t="array" aca="1" ref="C101" ca="1">IF(C100=-1,-1,
      IF(C100&lt;income_max_row, C100+1,
          IF(C100=income_max_row, income_total_row,
              IF(C100=income_total_row, "/1",
                  IF(C100="/1", expenses_header_row,
                      IF(C100&lt;expenses_max_row, C100+1,
                          IF(C100=expenses_max_row, expenses_total_row,
                              IF(C100=expenses_total_row, "/2",
                                  IF(C100="/2", savings_header_row,
                                      IF(C100&lt;savings_max_row, C100+1,
                                          IF(C100=savings_max_row, savings_total_row, -1)))))))))))</f>
        <v>-1</v>
      </c>
      <c r="D101" s="7">
        <f t="shared" ca="1" si="0"/>
        <v>-1</v>
      </c>
      <c r="E101" s="6" cm="1">
        <f t="array" aca="1" ref="E101" ca="1">1*OR(row_id=income_header_row, row_id=expenses_header_row, row_id=savings_header_row)</f>
        <v>0</v>
      </c>
      <c r="F101">
        <f t="shared" ca="1" si="1"/>
        <v>0</v>
      </c>
      <c r="G101" cm="1">
        <f t="array" aca="1" ref="G101" ca="1">1*OR(row_id=income_total_row, row_id=expenses_total_row, row_id=savings_total_row)</f>
        <v>0</v>
      </c>
      <c r="H101" s="7">
        <f t="shared" ca="1" si="2"/>
        <v>1</v>
      </c>
      <c r="I101" s="6" t="str" cm="1">
        <f t="array" aca="1" ref="I101" ca="1">IFERROR(INDEX('Budget Planning'!$C:$C, header_row_id),"")</f>
        <v/>
      </c>
      <c r="J101" t="str" cm="1">
        <f t="array" aca="1" ref="J101" ca="1">IFERROR(INDEX('Budget Planning'!$C:$C, row_id),"")</f>
        <v/>
      </c>
      <c r="K101" s="54" t="str" cm="1">
        <f t="array" aca="1" ref="K10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1" s="55" t="str" cm="1">
        <f t="array" aca="1" ref="L101" ca="1">IF(OR(is_header, is_empty), "",
      INDEX('Budget Planning'!$E:$EM, row_id,
                  MATCH(IF(selected_period="Total Year", selected_year, DATE(selected_year, selected_period, 1)), 'Budget Planning'!$E$9:$EM$9, 0)  ))</f>
        <v/>
      </c>
      <c r="M101" s="6" t="str" cm="1">
        <f t="array" aca="1" ref="M101" ca="1">IF(is_cat,
       IF(header_row_id=income_header_row, MATCH(income_min_row, $C:$C, 0),
           IF(header_row_id=expenses_header_row, MATCH(expenses_min_row, $C:$C, 0),
               IF(header_row_id=savings_header_row, MATCH(savings_min_row, $C:$C, 0),""))), "")</f>
        <v/>
      </c>
      <c r="N101" s="7" t="str" cm="1">
        <f t="array" aca="1" ref="N101" ca="1">IF(is_cat,
       IF(header_row_id=income_header_row, MATCH(income_max_row, $C:$C, 0),
           IF(header_row_id=expenses_header_row, MATCH(expenses_max_row, $C:$C, 0),
               IF(header_row_id=savings_header_row, MATCH(savings_max_row, $C:$C, 0),""))), "")</f>
        <v/>
      </c>
      <c r="O101" s="6" t="str">
        <f t="shared" ca="1" si="3"/>
        <v/>
      </c>
      <c r="P101" t="str">
        <f t="shared" ca="1" si="4"/>
        <v/>
      </c>
      <c r="Q101" t="str">
        <f t="shared" ca="1" si="5"/>
        <v/>
      </c>
      <c r="R101" s="7" t="str">
        <f t="shared" ca="1" si="6"/>
        <v/>
      </c>
      <c r="S101" s="6" t="str">
        <f ca="1">IF(is_cat, _xlfn.NUMBERVALUE( tracked_rank &amp; IF(LEN(budget_rank)=1, "0", "") &amp; budget_rank), "")</f>
        <v/>
      </c>
      <c r="T101" t="str">
        <f t="shared" ca="1" si="7"/>
        <v/>
      </c>
      <c r="U101" t="str">
        <f t="shared" ca="1" si="8"/>
        <v/>
      </c>
      <c r="V101" t="str">
        <f t="shared" ca="1" si="9"/>
        <v/>
      </c>
      <c r="W101" s="7" t="str">
        <f t="shared" ca="1" si="10"/>
        <v/>
      </c>
      <c r="X101" s="57">
        <f t="shared" ca="1" si="11"/>
        <v>-1</v>
      </c>
      <c r="Y101" s="58" t="str">
        <f t="shared" ca="1" si="12"/>
        <v/>
      </c>
      <c r="Z101" s="60" t="str">
        <f t="shared" ca="1" si="13"/>
        <v/>
      </c>
      <c r="AA101" s="60" t="str">
        <f t="shared" ca="1" si="14"/>
        <v/>
      </c>
      <c r="AB101" s="59" t="str">
        <f t="shared" ca="1" si="15"/>
        <v/>
      </c>
      <c r="AC101" s="60" t="str">
        <f t="shared" ca="1" si="16"/>
        <v/>
      </c>
      <c r="AD101" s="60" t="str">
        <f t="shared" ca="1" si="17"/>
        <v/>
      </c>
    </row>
    <row r="102" spans="3:30" x14ac:dyDescent="0.2">
      <c r="C102" s="6" cm="1">
        <f t="array" aca="1" ref="C102" ca="1">IF(C101=-1,-1,
      IF(C101&lt;income_max_row, C101+1,
          IF(C101=income_max_row, income_total_row,
              IF(C101=income_total_row, "/1",
                  IF(C101="/1", expenses_header_row,
                      IF(C101&lt;expenses_max_row, C101+1,
                          IF(C101=expenses_max_row, expenses_total_row,
                              IF(C101=expenses_total_row, "/2",
                                  IF(C101="/2", savings_header_row,
                                      IF(C101&lt;savings_max_row, C101+1,
                                          IF(C101=savings_max_row, savings_total_row, -1)))))))))))</f>
        <v>-1</v>
      </c>
      <c r="D102" s="7">
        <f t="shared" ca="1" si="0"/>
        <v>-1</v>
      </c>
      <c r="E102" s="6" cm="1">
        <f t="array" aca="1" ref="E102" ca="1">1*OR(row_id=income_header_row, row_id=expenses_header_row, row_id=savings_header_row)</f>
        <v>0</v>
      </c>
      <c r="F102">
        <f t="shared" ca="1" si="1"/>
        <v>0</v>
      </c>
      <c r="G102" cm="1">
        <f t="array" aca="1" ref="G102" ca="1">1*OR(row_id=income_total_row, row_id=expenses_total_row, row_id=savings_total_row)</f>
        <v>0</v>
      </c>
      <c r="H102" s="7">
        <f t="shared" ca="1" si="2"/>
        <v>1</v>
      </c>
      <c r="I102" s="6" t="str" cm="1">
        <f t="array" aca="1" ref="I102" ca="1">IFERROR(INDEX('Budget Planning'!$C:$C, header_row_id),"")</f>
        <v/>
      </c>
      <c r="J102" t="str" cm="1">
        <f t="array" aca="1" ref="J102" ca="1">IFERROR(INDEX('Budget Planning'!$C:$C, row_id),"")</f>
        <v/>
      </c>
      <c r="K102" s="54" t="str" cm="1">
        <f t="array" aca="1" ref="K10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2" s="55" t="str" cm="1">
        <f t="array" aca="1" ref="L102" ca="1">IF(OR(is_header, is_empty), "",
      INDEX('Budget Planning'!$E:$EM, row_id,
                  MATCH(IF(selected_period="Total Year", selected_year, DATE(selected_year, selected_period, 1)), 'Budget Planning'!$E$9:$EM$9, 0)  ))</f>
        <v/>
      </c>
      <c r="M102" s="6" t="str" cm="1">
        <f t="array" aca="1" ref="M102" ca="1">IF(is_cat,
       IF(header_row_id=income_header_row, MATCH(income_min_row, $C:$C, 0),
           IF(header_row_id=expenses_header_row, MATCH(expenses_min_row, $C:$C, 0),
               IF(header_row_id=savings_header_row, MATCH(savings_min_row, $C:$C, 0),""))), "")</f>
        <v/>
      </c>
      <c r="N102" s="7" t="str" cm="1">
        <f t="array" aca="1" ref="N102" ca="1">IF(is_cat,
       IF(header_row_id=income_header_row, MATCH(income_max_row, $C:$C, 0),
           IF(header_row_id=expenses_header_row, MATCH(expenses_max_row, $C:$C, 0),
               IF(header_row_id=savings_header_row, MATCH(savings_max_row, $C:$C, 0),""))), "")</f>
        <v/>
      </c>
      <c r="O102" s="6" t="str">
        <f t="shared" ca="1" si="3"/>
        <v/>
      </c>
      <c r="P102" t="str">
        <f t="shared" ca="1" si="4"/>
        <v/>
      </c>
      <c r="Q102" t="str">
        <f t="shared" ca="1" si="5"/>
        <v/>
      </c>
      <c r="R102" s="7" t="str">
        <f t="shared" ca="1" si="6"/>
        <v/>
      </c>
      <c r="S102" s="6" t="str">
        <f ca="1">IF(is_cat, _xlfn.NUMBERVALUE( tracked_rank &amp; IF(LEN(budget_rank)=1, "0", "") &amp; budget_rank), "")</f>
        <v/>
      </c>
      <c r="T102" t="str">
        <f t="shared" ca="1" si="7"/>
        <v/>
      </c>
      <c r="U102" t="str">
        <f t="shared" ca="1" si="8"/>
        <v/>
      </c>
      <c r="V102" t="str">
        <f t="shared" ca="1" si="9"/>
        <v/>
      </c>
      <c r="W102" s="7" t="str">
        <f t="shared" ca="1" si="10"/>
        <v/>
      </c>
      <c r="X102" s="57">
        <f t="shared" ca="1" si="11"/>
        <v>-1</v>
      </c>
      <c r="Y102" s="58" t="str">
        <f t="shared" ca="1" si="12"/>
        <v/>
      </c>
      <c r="Z102" s="60" t="str">
        <f t="shared" ca="1" si="13"/>
        <v/>
      </c>
      <c r="AA102" s="60" t="str">
        <f t="shared" ca="1" si="14"/>
        <v/>
      </c>
      <c r="AB102" s="59" t="str">
        <f t="shared" ca="1" si="15"/>
        <v/>
      </c>
      <c r="AC102" s="60" t="str">
        <f t="shared" ca="1" si="16"/>
        <v/>
      </c>
      <c r="AD102" s="60" t="str">
        <f t="shared" ca="1" si="17"/>
        <v/>
      </c>
    </row>
    <row r="103" spans="3:30" x14ac:dyDescent="0.2">
      <c r="C103" s="6" cm="1">
        <f t="array" aca="1" ref="C103" ca="1">IF(C102=-1,-1,
      IF(C102&lt;income_max_row, C102+1,
          IF(C102=income_max_row, income_total_row,
              IF(C102=income_total_row, "/1",
                  IF(C102="/1", expenses_header_row,
                      IF(C102&lt;expenses_max_row, C102+1,
                          IF(C102=expenses_max_row, expenses_total_row,
                              IF(C102=expenses_total_row, "/2",
                                  IF(C102="/2", savings_header_row,
                                      IF(C102&lt;savings_max_row, C102+1,
                                          IF(C102=savings_max_row, savings_total_row, -1)))))))))))</f>
        <v>-1</v>
      </c>
      <c r="D103" s="7">
        <f t="shared" ca="1" si="0"/>
        <v>-1</v>
      </c>
      <c r="E103" s="6" cm="1">
        <f t="array" aca="1" ref="E103" ca="1">1*OR(row_id=income_header_row, row_id=expenses_header_row, row_id=savings_header_row)</f>
        <v>0</v>
      </c>
      <c r="F103">
        <f t="shared" ca="1" si="1"/>
        <v>0</v>
      </c>
      <c r="G103" cm="1">
        <f t="array" aca="1" ref="G103" ca="1">1*OR(row_id=income_total_row, row_id=expenses_total_row, row_id=savings_total_row)</f>
        <v>0</v>
      </c>
      <c r="H103" s="7">
        <f t="shared" ca="1" si="2"/>
        <v>1</v>
      </c>
      <c r="I103" s="6" t="str" cm="1">
        <f t="array" aca="1" ref="I103" ca="1">IFERROR(INDEX('Budget Planning'!$C:$C, header_row_id),"")</f>
        <v/>
      </c>
      <c r="J103" t="str" cm="1">
        <f t="array" aca="1" ref="J103" ca="1">IFERROR(INDEX('Budget Planning'!$C:$C, row_id),"")</f>
        <v/>
      </c>
      <c r="K103" s="54" t="str" cm="1">
        <f t="array" aca="1" ref="K10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3" s="55" t="str" cm="1">
        <f t="array" aca="1" ref="L103" ca="1">IF(OR(is_header, is_empty), "",
      INDEX('Budget Planning'!$E:$EM, row_id,
                  MATCH(IF(selected_period="Total Year", selected_year, DATE(selected_year, selected_period, 1)), 'Budget Planning'!$E$9:$EM$9, 0)  ))</f>
        <v/>
      </c>
      <c r="M103" s="6" t="str" cm="1">
        <f t="array" aca="1" ref="M103" ca="1">IF(is_cat,
       IF(header_row_id=income_header_row, MATCH(income_min_row, $C:$C, 0),
           IF(header_row_id=expenses_header_row, MATCH(expenses_min_row, $C:$C, 0),
               IF(header_row_id=savings_header_row, MATCH(savings_min_row, $C:$C, 0),""))), "")</f>
        <v/>
      </c>
      <c r="N103" s="7" t="str" cm="1">
        <f t="array" aca="1" ref="N103" ca="1">IF(is_cat,
       IF(header_row_id=income_header_row, MATCH(income_max_row, $C:$C, 0),
           IF(header_row_id=expenses_header_row, MATCH(expenses_max_row, $C:$C, 0),
               IF(header_row_id=savings_header_row, MATCH(savings_max_row, $C:$C, 0),""))), "")</f>
        <v/>
      </c>
      <c r="O103" s="6" t="str">
        <f t="shared" ca="1" si="3"/>
        <v/>
      </c>
      <c r="P103" t="str">
        <f t="shared" ca="1" si="4"/>
        <v/>
      </c>
      <c r="Q103" t="str">
        <f t="shared" ca="1" si="5"/>
        <v/>
      </c>
      <c r="R103" s="7" t="str">
        <f t="shared" ca="1" si="6"/>
        <v/>
      </c>
      <c r="S103" s="6" t="str">
        <f ca="1">IF(is_cat, _xlfn.NUMBERVALUE( tracked_rank &amp; IF(LEN(budget_rank)=1, "0", "") &amp; budget_rank), "")</f>
        <v/>
      </c>
      <c r="T103" t="str">
        <f t="shared" ca="1" si="7"/>
        <v/>
      </c>
      <c r="U103" t="str">
        <f t="shared" ca="1" si="8"/>
        <v/>
      </c>
      <c r="V103" t="str">
        <f t="shared" ca="1" si="9"/>
        <v/>
      </c>
      <c r="W103" s="7" t="str">
        <f t="shared" ca="1" si="10"/>
        <v/>
      </c>
      <c r="X103" s="57">
        <f t="shared" ca="1" si="11"/>
        <v>-1</v>
      </c>
      <c r="Y103" s="58" t="str">
        <f t="shared" ca="1" si="12"/>
        <v/>
      </c>
      <c r="Z103" s="60" t="str">
        <f t="shared" ca="1" si="13"/>
        <v/>
      </c>
      <c r="AA103" s="60" t="str">
        <f t="shared" ca="1" si="14"/>
        <v/>
      </c>
      <c r="AB103" s="59" t="str">
        <f t="shared" ca="1" si="15"/>
        <v/>
      </c>
      <c r="AC103" s="60" t="str">
        <f t="shared" ca="1" si="16"/>
        <v/>
      </c>
      <c r="AD103" s="60" t="str">
        <f t="shared" ca="1" si="17"/>
        <v/>
      </c>
    </row>
    <row r="104" spans="3:30" x14ac:dyDescent="0.2">
      <c r="C104" s="6" cm="1">
        <f t="array" aca="1" ref="C104" ca="1">IF(C103=-1,-1,
      IF(C103&lt;income_max_row, C103+1,
          IF(C103=income_max_row, income_total_row,
              IF(C103=income_total_row, "/1",
                  IF(C103="/1", expenses_header_row,
                      IF(C103&lt;expenses_max_row, C103+1,
                          IF(C103=expenses_max_row, expenses_total_row,
                              IF(C103=expenses_total_row, "/2",
                                  IF(C103="/2", savings_header_row,
                                      IF(C103&lt;savings_max_row, C103+1,
                                          IF(C103=savings_max_row, savings_total_row, -1)))))))))))</f>
        <v>-1</v>
      </c>
      <c r="D104" s="7">
        <f t="shared" ca="1" si="0"/>
        <v>-1</v>
      </c>
      <c r="E104" s="6" cm="1">
        <f t="array" aca="1" ref="E104" ca="1">1*OR(row_id=income_header_row, row_id=expenses_header_row, row_id=savings_header_row)</f>
        <v>0</v>
      </c>
      <c r="F104">
        <f t="shared" ca="1" si="1"/>
        <v>0</v>
      </c>
      <c r="G104" cm="1">
        <f t="array" aca="1" ref="G104" ca="1">1*OR(row_id=income_total_row, row_id=expenses_total_row, row_id=savings_total_row)</f>
        <v>0</v>
      </c>
      <c r="H104" s="7">
        <f t="shared" ca="1" si="2"/>
        <v>1</v>
      </c>
      <c r="I104" s="6" t="str" cm="1">
        <f t="array" aca="1" ref="I104" ca="1">IFERROR(INDEX('Budget Planning'!$C:$C, header_row_id),"")</f>
        <v/>
      </c>
      <c r="J104" t="str" cm="1">
        <f t="array" aca="1" ref="J104" ca="1">IFERROR(INDEX('Budget Planning'!$C:$C, row_id),"")</f>
        <v/>
      </c>
      <c r="K104" s="54" t="str" cm="1">
        <f t="array" aca="1" ref="K10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4" s="55" t="str" cm="1">
        <f t="array" aca="1" ref="L104" ca="1">IF(OR(is_header, is_empty), "",
      INDEX('Budget Planning'!$E:$EM, row_id,
                  MATCH(IF(selected_period="Total Year", selected_year, DATE(selected_year, selected_period, 1)), 'Budget Planning'!$E$9:$EM$9, 0)  ))</f>
        <v/>
      </c>
      <c r="M104" s="6" t="str" cm="1">
        <f t="array" aca="1" ref="M104" ca="1">IF(is_cat,
       IF(header_row_id=income_header_row, MATCH(income_min_row, $C:$C, 0),
           IF(header_row_id=expenses_header_row, MATCH(expenses_min_row, $C:$C, 0),
               IF(header_row_id=savings_header_row, MATCH(savings_min_row, $C:$C, 0),""))), "")</f>
        <v/>
      </c>
      <c r="N104" s="7" t="str" cm="1">
        <f t="array" aca="1" ref="N104" ca="1">IF(is_cat,
       IF(header_row_id=income_header_row, MATCH(income_max_row, $C:$C, 0),
           IF(header_row_id=expenses_header_row, MATCH(expenses_max_row, $C:$C, 0),
               IF(header_row_id=savings_header_row, MATCH(savings_max_row, $C:$C, 0),""))), "")</f>
        <v/>
      </c>
      <c r="O104" s="6" t="str">
        <f t="shared" ca="1" si="3"/>
        <v/>
      </c>
      <c r="P104" t="str">
        <f t="shared" ca="1" si="4"/>
        <v/>
      </c>
      <c r="Q104" t="str">
        <f t="shared" ca="1" si="5"/>
        <v/>
      </c>
      <c r="R104" s="7" t="str">
        <f t="shared" ca="1" si="6"/>
        <v/>
      </c>
      <c r="S104" s="6" t="str">
        <f ca="1">IF(is_cat, _xlfn.NUMBERVALUE( tracked_rank &amp; IF(LEN(budget_rank)=1, "0", "") &amp; budget_rank), "")</f>
        <v/>
      </c>
      <c r="T104" t="str">
        <f t="shared" ca="1" si="7"/>
        <v/>
      </c>
      <c r="U104" t="str">
        <f t="shared" ca="1" si="8"/>
        <v/>
      </c>
      <c r="V104" t="str">
        <f t="shared" ca="1" si="9"/>
        <v/>
      </c>
      <c r="W104" s="7" t="str">
        <f t="shared" ca="1" si="10"/>
        <v/>
      </c>
      <c r="X104" s="57">
        <f t="shared" ca="1" si="11"/>
        <v>-1</v>
      </c>
      <c r="Y104" s="58" t="str">
        <f t="shared" ca="1" si="12"/>
        <v/>
      </c>
      <c r="Z104" s="60" t="str">
        <f t="shared" ca="1" si="13"/>
        <v/>
      </c>
      <c r="AA104" s="60" t="str">
        <f t="shared" ca="1" si="14"/>
        <v/>
      </c>
      <c r="AB104" s="59" t="str">
        <f t="shared" ca="1" si="15"/>
        <v/>
      </c>
      <c r="AC104" s="60" t="str">
        <f t="shared" ca="1" si="16"/>
        <v/>
      </c>
      <c r="AD104" s="60" t="str">
        <f t="shared" ca="1" si="17"/>
        <v/>
      </c>
    </row>
    <row r="105" spans="3:30" x14ac:dyDescent="0.2">
      <c r="C105" s="6" cm="1">
        <f t="array" aca="1" ref="C105" ca="1">IF(C104=-1,-1,
      IF(C104&lt;income_max_row, C104+1,
          IF(C104=income_max_row, income_total_row,
              IF(C104=income_total_row, "/1",
                  IF(C104="/1", expenses_header_row,
                      IF(C104&lt;expenses_max_row, C104+1,
                          IF(C104=expenses_max_row, expenses_total_row,
                              IF(C104=expenses_total_row, "/2",
                                  IF(C104="/2", savings_header_row,
                                      IF(C104&lt;savings_max_row, C104+1,
                                          IF(C104=savings_max_row, savings_total_row, -1)))))))))))</f>
        <v>-1</v>
      </c>
      <c r="D105" s="7">
        <f t="shared" ca="1" si="0"/>
        <v>-1</v>
      </c>
      <c r="E105" s="6" cm="1">
        <f t="array" aca="1" ref="E105" ca="1">1*OR(row_id=income_header_row, row_id=expenses_header_row, row_id=savings_header_row)</f>
        <v>0</v>
      </c>
      <c r="F105">
        <f t="shared" ca="1" si="1"/>
        <v>0</v>
      </c>
      <c r="G105" cm="1">
        <f t="array" aca="1" ref="G105" ca="1">1*OR(row_id=income_total_row, row_id=expenses_total_row, row_id=savings_total_row)</f>
        <v>0</v>
      </c>
      <c r="H105" s="7">
        <f t="shared" ca="1" si="2"/>
        <v>1</v>
      </c>
      <c r="I105" s="6" t="str" cm="1">
        <f t="array" aca="1" ref="I105" ca="1">IFERROR(INDEX('Budget Planning'!$C:$C, header_row_id),"")</f>
        <v/>
      </c>
      <c r="J105" t="str" cm="1">
        <f t="array" aca="1" ref="J105" ca="1">IFERROR(INDEX('Budget Planning'!$C:$C, row_id),"")</f>
        <v/>
      </c>
      <c r="K105" s="54" t="str" cm="1">
        <f t="array" aca="1" ref="K10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5" s="55" t="str" cm="1">
        <f t="array" aca="1" ref="L105" ca="1">IF(OR(is_header, is_empty), "",
      INDEX('Budget Planning'!$E:$EM, row_id,
                  MATCH(IF(selected_period="Total Year", selected_year, DATE(selected_year, selected_period, 1)), 'Budget Planning'!$E$9:$EM$9, 0)  ))</f>
        <v/>
      </c>
      <c r="M105" s="6" t="str" cm="1">
        <f t="array" aca="1" ref="M105" ca="1">IF(is_cat,
       IF(header_row_id=income_header_row, MATCH(income_min_row, $C:$C, 0),
           IF(header_row_id=expenses_header_row, MATCH(expenses_min_row, $C:$C, 0),
               IF(header_row_id=savings_header_row, MATCH(savings_min_row, $C:$C, 0),""))), "")</f>
        <v/>
      </c>
      <c r="N105" s="7" t="str" cm="1">
        <f t="array" aca="1" ref="N105" ca="1">IF(is_cat,
       IF(header_row_id=income_header_row, MATCH(income_max_row, $C:$C, 0),
           IF(header_row_id=expenses_header_row, MATCH(expenses_max_row, $C:$C, 0),
               IF(header_row_id=savings_header_row, MATCH(savings_max_row, $C:$C, 0),""))), "")</f>
        <v/>
      </c>
      <c r="O105" s="6" t="str">
        <f t="shared" ca="1" si="3"/>
        <v/>
      </c>
      <c r="P105" t="str">
        <f t="shared" ca="1" si="4"/>
        <v/>
      </c>
      <c r="Q105" t="str">
        <f t="shared" ca="1" si="5"/>
        <v/>
      </c>
      <c r="R105" s="7" t="str">
        <f t="shared" ca="1" si="6"/>
        <v/>
      </c>
      <c r="S105" s="6" t="str">
        <f ca="1">IF(is_cat, _xlfn.NUMBERVALUE( tracked_rank &amp; IF(LEN(budget_rank)=1, "0", "") &amp; budget_rank), "")</f>
        <v/>
      </c>
      <c r="T105" t="str">
        <f t="shared" ca="1" si="7"/>
        <v/>
      </c>
      <c r="U105" t="str">
        <f t="shared" ca="1" si="8"/>
        <v/>
      </c>
      <c r="V105" t="str">
        <f t="shared" ca="1" si="9"/>
        <v/>
      </c>
      <c r="W105" s="7" t="str">
        <f t="shared" ca="1" si="10"/>
        <v/>
      </c>
      <c r="X105" s="57">
        <f t="shared" ca="1" si="11"/>
        <v>-1</v>
      </c>
      <c r="Y105" s="58" t="str">
        <f t="shared" ca="1" si="12"/>
        <v/>
      </c>
      <c r="Z105" s="60" t="str">
        <f t="shared" ca="1" si="13"/>
        <v/>
      </c>
      <c r="AA105" s="60" t="str">
        <f t="shared" ca="1" si="14"/>
        <v/>
      </c>
      <c r="AB105" s="59" t="str">
        <f t="shared" ca="1" si="15"/>
        <v/>
      </c>
      <c r="AC105" s="60" t="str">
        <f t="shared" ca="1" si="16"/>
        <v/>
      </c>
      <c r="AD105" s="60" t="str">
        <f t="shared" ca="1" si="17"/>
        <v/>
      </c>
    </row>
    <row r="106" spans="3:30" x14ac:dyDescent="0.2">
      <c r="C106" s="6" cm="1">
        <f t="array" aca="1" ref="C106" ca="1">IF(C105=-1,-1,
      IF(C105&lt;income_max_row, C105+1,
          IF(C105=income_max_row, income_total_row,
              IF(C105=income_total_row, "/1",
                  IF(C105="/1", expenses_header_row,
                      IF(C105&lt;expenses_max_row, C105+1,
                          IF(C105=expenses_max_row, expenses_total_row,
                              IF(C105=expenses_total_row, "/2",
                                  IF(C105="/2", savings_header_row,
                                      IF(C105&lt;savings_max_row, C105+1,
                                          IF(C105=savings_max_row, savings_total_row, -1)))))))))))</f>
        <v>-1</v>
      </c>
      <c r="D106" s="7">
        <f t="shared" ca="1" si="0"/>
        <v>-1</v>
      </c>
      <c r="E106" s="6" cm="1">
        <f t="array" aca="1" ref="E106" ca="1">1*OR(row_id=income_header_row, row_id=expenses_header_row, row_id=savings_header_row)</f>
        <v>0</v>
      </c>
      <c r="F106">
        <f t="shared" ca="1" si="1"/>
        <v>0</v>
      </c>
      <c r="G106" cm="1">
        <f t="array" aca="1" ref="G106" ca="1">1*OR(row_id=income_total_row, row_id=expenses_total_row, row_id=savings_total_row)</f>
        <v>0</v>
      </c>
      <c r="H106" s="7">
        <f t="shared" ca="1" si="2"/>
        <v>1</v>
      </c>
      <c r="I106" s="6" t="str" cm="1">
        <f t="array" aca="1" ref="I106" ca="1">IFERROR(INDEX('Budget Planning'!$C:$C, header_row_id),"")</f>
        <v/>
      </c>
      <c r="J106" t="str" cm="1">
        <f t="array" aca="1" ref="J106" ca="1">IFERROR(INDEX('Budget Planning'!$C:$C, row_id),"")</f>
        <v/>
      </c>
      <c r="K106" s="54" t="str" cm="1">
        <f t="array" aca="1" ref="K10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6" s="55" t="str" cm="1">
        <f t="array" aca="1" ref="L106" ca="1">IF(OR(is_header, is_empty), "",
      INDEX('Budget Planning'!$E:$EM, row_id,
                  MATCH(IF(selected_period="Total Year", selected_year, DATE(selected_year, selected_period, 1)), 'Budget Planning'!$E$9:$EM$9, 0)  ))</f>
        <v/>
      </c>
      <c r="M106" s="6" t="str" cm="1">
        <f t="array" aca="1" ref="M106" ca="1">IF(is_cat,
       IF(header_row_id=income_header_row, MATCH(income_min_row, $C:$C, 0),
           IF(header_row_id=expenses_header_row, MATCH(expenses_min_row, $C:$C, 0),
               IF(header_row_id=savings_header_row, MATCH(savings_min_row, $C:$C, 0),""))), "")</f>
        <v/>
      </c>
      <c r="N106" s="7" t="str" cm="1">
        <f t="array" aca="1" ref="N106" ca="1">IF(is_cat,
       IF(header_row_id=income_header_row, MATCH(income_max_row, $C:$C, 0),
           IF(header_row_id=expenses_header_row, MATCH(expenses_max_row, $C:$C, 0),
               IF(header_row_id=savings_header_row, MATCH(savings_max_row, $C:$C, 0),""))), "")</f>
        <v/>
      </c>
      <c r="O106" s="6" t="str">
        <f t="shared" ca="1" si="3"/>
        <v/>
      </c>
      <c r="P106" t="str">
        <f t="shared" ca="1" si="4"/>
        <v/>
      </c>
      <c r="Q106" t="str">
        <f t="shared" ca="1" si="5"/>
        <v/>
      </c>
      <c r="R106" s="7" t="str">
        <f t="shared" ca="1" si="6"/>
        <v/>
      </c>
      <c r="S106" s="6" t="str">
        <f ca="1">IF(is_cat, _xlfn.NUMBERVALUE( tracked_rank &amp; IF(LEN(budget_rank)=1, "0", "") &amp; budget_rank), "")</f>
        <v/>
      </c>
      <c r="T106" t="str">
        <f t="shared" ca="1" si="7"/>
        <v/>
      </c>
      <c r="U106" t="str">
        <f t="shared" ca="1" si="8"/>
        <v/>
      </c>
      <c r="V106" t="str">
        <f t="shared" ca="1" si="9"/>
        <v/>
      </c>
      <c r="W106" s="7" t="str">
        <f t="shared" ca="1" si="10"/>
        <v/>
      </c>
      <c r="X106" s="57">
        <f t="shared" ca="1" si="11"/>
        <v>-1</v>
      </c>
      <c r="Y106" s="58" t="str">
        <f t="shared" ca="1" si="12"/>
        <v/>
      </c>
      <c r="Z106" s="60" t="str">
        <f t="shared" ca="1" si="13"/>
        <v/>
      </c>
      <c r="AA106" s="60" t="str">
        <f t="shared" ca="1" si="14"/>
        <v/>
      </c>
      <c r="AB106" s="59" t="str">
        <f t="shared" ca="1" si="15"/>
        <v/>
      </c>
      <c r="AC106" s="60" t="str">
        <f t="shared" ca="1" si="16"/>
        <v/>
      </c>
      <c r="AD106" s="60" t="str">
        <f t="shared" ca="1" si="17"/>
        <v/>
      </c>
    </row>
    <row r="107" spans="3:30" x14ac:dyDescent="0.2">
      <c r="C107" s="6" cm="1">
        <f t="array" aca="1" ref="C107" ca="1">IF(C106=-1,-1,
      IF(C106&lt;income_max_row, C106+1,
          IF(C106=income_max_row, income_total_row,
              IF(C106=income_total_row, "/1",
                  IF(C106="/1", expenses_header_row,
                      IF(C106&lt;expenses_max_row, C106+1,
                          IF(C106=expenses_max_row, expenses_total_row,
                              IF(C106=expenses_total_row, "/2",
                                  IF(C106="/2", savings_header_row,
                                      IF(C106&lt;savings_max_row, C106+1,
                                          IF(C106=savings_max_row, savings_total_row, -1)))))))))))</f>
        <v>-1</v>
      </c>
      <c r="D107" s="7">
        <f t="shared" ca="1" si="0"/>
        <v>-1</v>
      </c>
      <c r="E107" s="6" cm="1">
        <f t="array" aca="1" ref="E107" ca="1">1*OR(row_id=income_header_row, row_id=expenses_header_row, row_id=savings_header_row)</f>
        <v>0</v>
      </c>
      <c r="F107">
        <f t="shared" ca="1" si="1"/>
        <v>0</v>
      </c>
      <c r="G107" cm="1">
        <f t="array" aca="1" ref="G107" ca="1">1*OR(row_id=income_total_row, row_id=expenses_total_row, row_id=savings_total_row)</f>
        <v>0</v>
      </c>
      <c r="H107" s="7">
        <f t="shared" ca="1" si="2"/>
        <v>1</v>
      </c>
      <c r="I107" s="6" t="str" cm="1">
        <f t="array" aca="1" ref="I107" ca="1">IFERROR(INDEX('Budget Planning'!$C:$C, header_row_id),"")</f>
        <v/>
      </c>
      <c r="J107" t="str" cm="1">
        <f t="array" aca="1" ref="J107" ca="1">IFERROR(INDEX('Budget Planning'!$C:$C, row_id),"")</f>
        <v/>
      </c>
      <c r="K107" s="54" t="str" cm="1">
        <f t="array" aca="1" ref="K10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7" s="55" t="str" cm="1">
        <f t="array" aca="1" ref="L107" ca="1">IF(OR(is_header, is_empty), "",
      INDEX('Budget Planning'!$E:$EM, row_id,
                  MATCH(IF(selected_period="Total Year", selected_year, DATE(selected_year, selected_period, 1)), 'Budget Planning'!$E$9:$EM$9, 0)  ))</f>
        <v/>
      </c>
      <c r="M107" s="6" t="str" cm="1">
        <f t="array" aca="1" ref="M107" ca="1">IF(is_cat,
       IF(header_row_id=income_header_row, MATCH(income_min_row, $C:$C, 0),
           IF(header_row_id=expenses_header_row, MATCH(expenses_min_row, $C:$C, 0),
               IF(header_row_id=savings_header_row, MATCH(savings_min_row, $C:$C, 0),""))), "")</f>
        <v/>
      </c>
      <c r="N107" s="7" t="str" cm="1">
        <f t="array" aca="1" ref="N107" ca="1">IF(is_cat,
       IF(header_row_id=income_header_row, MATCH(income_max_row, $C:$C, 0),
           IF(header_row_id=expenses_header_row, MATCH(expenses_max_row, $C:$C, 0),
               IF(header_row_id=savings_header_row, MATCH(savings_max_row, $C:$C, 0),""))), "")</f>
        <v/>
      </c>
      <c r="O107" s="6" t="str">
        <f t="shared" ca="1" si="3"/>
        <v/>
      </c>
      <c r="P107" t="str">
        <f t="shared" ca="1" si="4"/>
        <v/>
      </c>
      <c r="Q107" t="str">
        <f t="shared" ca="1" si="5"/>
        <v/>
      </c>
      <c r="R107" s="7" t="str">
        <f t="shared" ca="1" si="6"/>
        <v/>
      </c>
      <c r="S107" s="6" t="str">
        <f ca="1">IF(is_cat, _xlfn.NUMBERVALUE( tracked_rank &amp; IF(LEN(budget_rank)=1, "0", "") &amp; budget_rank), "")</f>
        <v/>
      </c>
      <c r="T107" t="str">
        <f t="shared" ca="1" si="7"/>
        <v/>
      </c>
      <c r="U107" t="str">
        <f t="shared" ca="1" si="8"/>
        <v/>
      </c>
      <c r="V107" t="str">
        <f t="shared" ca="1" si="9"/>
        <v/>
      </c>
      <c r="W107" s="7" t="str">
        <f t="shared" ca="1" si="10"/>
        <v/>
      </c>
      <c r="X107" s="57">
        <f t="shared" ca="1" si="11"/>
        <v>-1</v>
      </c>
      <c r="Y107" s="58" t="str">
        <f t="shared" ca="1" si="12"/>
        <v/>
      </c>
      <c r="Z107" s="60" t="str">
        <f t="shared" ca="1" si="13"/>
        <v/>
      </c>
      <c r="AA107" s="60" t="str">
        <f t="shared" ca="1" si="14"/>
        <v/>
      </c>
      <c r="AB107" s="59" t="str">
        <f t="shared" ca="1" si="15"/>
        <v/>
      </c>
      <c r="AC107" s="60" t="str">
        <f t="shared" ca="1" si="16"/>
        <v/>
      </c>
      <c r="AD107" s="60" t="str">
        <f t="shared" ca="1" si="17"/>
        <v/>
      </c>
    </row>
    <row r="108" spans="3:30" x14ac:dyDescent="0.2">
      <c r="C108" s="6" cm="1">
        <f t="array" aca="1" ref="C108" ca="1">IF(C107=-1,-1,
      IF(C107&lt;income_max_row, C107+1,
          IF(C107=income_max_row, income_total_row,
              IF(C107=income_total_row, "/1",
                  IF(C107="/1", expenses_header_row,
                      IF(C107&lt;expenses_max_row, C107+1,
                          IF(C107=expenses_max_row, expenses_total_row,
                              IF(C107=expenses_total_row, "/2",
                                  IF(C107="/2", savings_header_row,
                                      IF(C107&lt;savings_max_row, C107+1,
                                          IF(C107=savings_max_row, savings_total_row, -1)))))))))))</f>
        <v>-1</v>
      </c>
      <c r="D108" s="7">
        <f t="shared" ca="1" si="0"/>
        <v>-1</v>
      </c>
      <c r="E108" s="6" cm="1">
        <f t="array" aca="1" ref="E108" ca="1">1*OR(row_id=income_header_row, row_id=expenses_header_row, row_id=savings_header_row)</f>
        <v>0</v>
      </c>
      <c r="F108">
        <f t="shared" ca="1" si="1"/>
        <v>0</v>
      </c>
      <c r="G108" cm="1">
        <f t="array" aca="1" ref="G108" ca="1">1*OR(row_id=income_total_row, row_id=expenses_total_row, row_id=savings_total_row)</f>
        <v>0</v>
      </c>
      <c r="H108" s="7">
        <f t="shared" ca="1" si="2"/>
        <v>1</v>
      </c>
      <c r="I108" s="6" t="str" cm="1">
        <f t="array" aca="1" ref="I108" ca="1">IFERROR(INDEX('Budget Planning'!$C:$C, header_row_id),"")</f>
        <v/>
      </c>
      <c r="J108" t="str" cm="1">
        <f t="array" aca="1" ref="J108" ca="1">IFERROR(INDEX('Budget Planning'!$C:$C, row_id),"")</f>
        <v/>
      </c>
      <c r="K108" s="54" t="str" cm="1">
        <f t="array" aca="1" ref="K10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8" s="55" t="str" cm="1">
        <f t="array" aca="1" ref="L108" ca="1">IF(OR(is_header, is_empty), "",
      INDEX('Budget Planning'!$E:$EM, row_id,
                  MATCH(IF(selected_period="Total Year", selected_year, DATE(selected_year, selected_period, 1)), 'Budget Planning'!$E$9:$EM$9, 0)  ))</f>
        <v/>
      </c>
      <c r="M108" s="6" t="str" cm="1">
        <f t="array" aca="1" ref="M108" ca="1">IF(is_cat,
       IF(header_row_id=income_header_row, MATCH(income_min_row, $C:$C, 0),
           IF(header_row_id=expenses_header_row, MATCH(expenses_min_row, $C:$C, 0),
               IF(header_row_id=savings_header_row, MATCH(savings_min_row, $C:$C, 0),""))), "")</f>
        <v/>
      </c>
      <c r="N108" s="7" t="str" cm="1">
        <f t="array" aca="1" ref="N108" ca="1">IF(is_cat,
       IF(header_row_id=income_header_row, MATCH(income_max_row, $C:$C, 0),
           IF(header_row_id=expenses_header_row, MATCH(expenses_max_row, $C:$C, 0),
               IF(header_row_id=savings_header_row, MATCH(savings_max_row, $C:$C, 0),""))), "")</f>
        <v/>
      </c>
      <c r="O108" s="6" t="str">
        <f t="shared" ca="1" si="3"/>
        <v/>
      </c>
      <c r="P108" t="str">
        <f t="shared" ca="1" si="4"/>
        <v/>
      </c>
      <c r="Q108" t="str">
        <f t="shared" ca="1" si="5"/>
        <v/>
      </c>
      <c r="R108" s="7" t="str">
        <f t="shared" ca="1" si="6"/>
        <v/>
      </c>
      <c r="S108" s="6" t="str">
        <f ca="1">IF(is_cat, _xlfn.NUMBERVALUE( tracked_rank &amp; IF(LEN(budget_rank)=1, "0", "") &amp; budget_rank), "")</f>
        <v/>
      </c>
      <c r="T108" t="str">
        <f t="shared" ca="1" si="7"/>
        <v/>
      </c>
      <c r="U108" t="str">
        <f t="shared" ca="1" si="8"/>
        <v/>
      </c>
      <c r="V108" t="str">
        <f t="shared" ca="1" si="9"/>
        <v/>
      </c>
      <c r="W108" s="7" t="str">
        <f t="shared" ca="1" si="10"/>
        <v/>
      </c>
      <c r="X108" s="57">
        <f t="shared" ca="1" si="11"/>
        <v>-1</v>
      </c>
      <c r="Y108" s="58" t="str">
        <f t="shared" ca="1" si="12"/>
        <v/>
      </c>
      <c r="Z108" s="60" t="str">
        <f t="shared" ca="1" si="13"/>
        <v/>
      </c>
      <c r="AA108" s="60" t="str">
        <f t="shared" ca="1" si="14"/>
        <v/>
      </c>
      <c r="AB108" s="59" t="str">
        <f t="shared" ca="1" si="15"/>
        <v/>
      </c>
      <c r="AC108" s="60" t="str">
        <f t="shared" ca="1" si="16"/>
        <v/>
      </c>
      <c r="AD108" s="60" t="str">
        <f t="shared" ca="1" si="17"/>
        <v/>
      </c>
    </row>
    <row r="109" spans="3:30" x14ac:dyDescent="0.2">
      <c r="C109" s="6" cm="1">
        <f t="array" aca="1" ref="C109" ca="1">IF(C108=-1,-1,
      IF(C108&lt;income_max_row, C108+1,
          IF(C108=income_max_row, income_total_row,
              IF(C108=income_total_row, "/1",
                  IF(C108="/1", expenses_header_row,
                      IF(C108&lt;expenses_max_row, C108+1,
                          IF(C108=expenses_max_row, expenses_total_row,
                              IF(C108=expenses_total_row, "/2",
                                  IF(C108="/2", savings_header_row,
                                      IF(C108&lt;savings_max_row, C108+1,
                                          IF(C108=savings_max_row, savings_total_row, -1)))))))))))</f>
        <v>-1</v>
      </c>
      <c r="D109" s="7">
        <f t="shared" ca="1" si="0"/>
        <v>-1</v>
      </c>
      <c r="E109" s="6" cm="1">
        <f t="array" aca="1" ref="E109" ca="1">1*OR(row_id=income_header_row, row_id=expenses_header_row, row_id=savings_header_row)</f>
        <v>0</v>
      </c>
      <c r="F109">
        <f t="shared" ca="1" si="1"/>
        <v>0</v>
      </c>
      <c r="G109" cm="1">
        <f t="array" aca="1" ref="G109" ca="1">1*OR(row_id=income_total_row, row_id=expenses_total_row, row_id=savings_total_row)</f>
        <v>0</v>
      </c>
      <c r="H109" s="7">
        <f t="shared" ca="1" si="2"/>
        <v>1</v>
      </c>
      <c r="I109" s="6" t="str" cm="1">
        <f t="array" aca="1" ref="I109" ca="1">IFERROR(INDEX('Budget Planning'!$C:$C, header_row_id),"")</f>
        <v/>
      </c>
      <c r="J109" t="str" cm="1">
        <f t="array" aca="1" ref="J109" ca="1">IFERROR(INDEX('Budget Planning'!$C:$C, row_id),"")</f>
        <v/>
      </c>
      <c r="K109" s="54" t="str" cm="1">
        <f t="array" aca="1" ref="K10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9" s="55" t="str" cm="1">
        <f t="array" aca="1" ref="L109" ca="1">IF(OR(is_header, is_empty), "",
      INDEX('Budget Planning'!$E:$EM, row_id,
                  MATCH(IF(selected_period="Total Year", selected_year, DATE(selected_year, selected_period, 1)), 'Budget Planning'!$E$9:$EM$9, 0)  ))</f>
        <v/>
      </c>
      <c r="M109" s="6" t="str" cm="1">
        <f t="array" aca="1" ref="M109" ca="1">IF(is_cat,
       IF(header_row_id=income_header_row, MATCH(income_min_row, $C:$C, 0),
           IF(header_row_id=expenses_header_row, MATCH(expenses_min_row, $C:$C, 0),
               IF(header_row_id=savings_header_row, MATCH(savings_min_row, $C:$C, 0),""))), "")</f>
        <v/>
      </c>
      <c r="N109" s="7" t="str" cm="1">
        <f t="array" aca="1" ref="N109" ca="1">IF(is_cat,
       IF(header_row_id=income_header_row, MATCH(income_max_row, $C:$C, 0),
           IF(header_row_id=expenses_header_row, MATCH(expenses_max_row, $C:$C, 0),
               IF(header_row_id=savings_header_row, MATCH(savings_max_row, $C:$C, 0),""))), "")</f>
        <v/>
      </c>
      <c r="O109" s="6" t="str">
        <f t="shared" ca="1" si="3"/>
        <v/>
      </c>
      <c r="P109" t="str">
        <f t="shared" ca="1" si="4"/>
        <v/>
      </c>
      <c r="Q109" t="str">
        <f t="shared" ca="1" si="5"/>
        <v/>
      </c>
      <c r="R109" s="7" t="str">
        <f t="shared" ca="1" si="6"/>
        <v/>
      </c>
      <c r="S109" s="6" t="str">
        <f ca="1">IF(is_cat, _xlfn.NUMBERVALUE( tracked_rank &amp; IF(LEN(budget_rank)=1, "0", "") &amp; budget_rank), "")</f>
        <v/>
      </c>
      <c r="T109" t="str">
        <f t="shared" ca="1" si="7"/>
        <v/>
      </c>
      <c r="U109" t="str">
        <f t="shared" ca="1" si="8"/>
        <v/>
      </c>
      <c r="V109" t="str">
        <f t="shared" ca="1" si="9"/>
        <v/>
      </c>
      <c r="W109" s="7" t="str">
        <f t="shared" ca="1" si="10"/>
        <v/>
      </c>
      <c r="X109" s="57">
        <f t="shared" ca="1" si="11"/>
        <v>-1</v>
      </c>
      <c r="Y109" s="58" t="str">
        <f t="shared" ca="1" si="12"/>
        <v/>
      </c>
      <c r="Z109" s="60" t="str">
        <f t="shared" ca="1" si="13"/>
        <v/>
      </c>
      <c r="AA109" s="60" t="str">
        <f t="shared" ca="1" si="14"/>
        <v/>
      </c>
      <c r="AB109" s="59" t="str">
        <f t="shared" ca="1" si="15"/>
        <v/>
      </c>
      <c r="AC109" s="60" t="str">
        <f t="shared" ca="1" si="16"/>
        <v/>
      </c>
      <c r="AD109" s="60" t="str">
        <f t="shared" ca="1" si="17"/>
        <v/>
      </c>
    </row>
    <row r="110" spans="3:30" x14ac:dyDescent="0.2">
      <c r="C110" s="6" cm="1">
        <f t="array" aca="1" ref="C110" ca="1">IF(C109=-1,-1,
      IF(C109&lt;income_max_row, C109+1,
          IF(C109=income_max_row, income_total_row,
              IF(C109=income_total_row, "/1",
                  IF(C109="/1", expenses_header_row,
                      IF(C109&lt;expenses_max_row, C109+1,
                          IF(C109=expenses_max_row, expenses_total_row,
                              IF(C109=expenses_total_row, "/2",
                                  IF(C109="/2", savings_header_row,
                                      IF(C109&lt;savings_max_row, C109+1,
                                          IF(C109=savings_max_row, savings_total_row, -1)))))))))))</f>
        <v>-1</v>
      </c>
      <c r="D110" s="7">
        <f t="shared" ca="1" si="0"/>
        <v>-1</v>
      </c>
      <c r="E110" s="6" cm="1">
        <f t="array" aca="1" ref="E110" ca="1">1*OR(row_id=income_header_row, row_id=expenses_header_row, row_id=savings_header_row)</f>
        <v>0</v>
      </c>
      <c r="F110">
        <f t="shared" ca="1" si="1"/>
        <v>0</v>
      </c>
      <c r="G110" cm="1">
        <f t="array" aca="1" ref="G110" ca="1">1*OR(row_id=income_total_row, row_id=expenses_total_row, row_id=savings_total_row)</f>
        <v>0</v>
      </c>
      <c r="H110" s="7">
        <f t="shared" ca="1" si="2"/>
        <v>1</v>
      </c>
      <c r="I110" s="6" t="str" cm="1">
        <f t="array" aca="1" ref="I110" ca="1">IFERROR(INDEX('Budget Planning'!$C:$C, header_row_id),"")</f>
        <v/>
      </c>
      <c r="J110" t="str" cm="1">
        <f t="array" aca="1" ref="J110" ca="1">IFERROR(INDEX('Budget Planning'!$C:$C, row_id),"")</f>
        <v/>
      </c>
      <c r="K110" s="54" t="str" cm="1">
        <f t="array" aca="1" ref="K11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0" s="55" t="str" cm="1">
        <f t="array" aca="1" ref="L110" ca="1">IF(OR(is_header, is_empty), "",
      INDEX('Budget Planning'!$E:$EM, row_id,
                  MATCH(IF(selected_period="Total Year", selected_year, DATE(selected_year, selected_period, 1)), 'Budget Planning'!$E$9:$EM$9, 0)  ))</f>
        <v/>
      </c>
      <c r="M110" s="6" t="str" cm="1">
        <f t="array" aca="1" ref="M110" ca="1">IF(is_cat,
       IF(header_row_id=income_header_row, MATCH(income_min_row, $C:$C, 0),
           IF(header_row_id=expenses_header_row, MATCH(expenses_min_row, $C:$C, 0),
               IF(header_row_id=savings_header_row, MATCH(savings_min_row, $C:$C, 0),""))), "")</f>
        <v/>
      </c>
      <c r="N110" s="7" t="str" cm="1">
        <f t="array" aca="1" ref="N110" ca="1">IF(is_cat,
       IF(header_row_id=income_header_row, MATCH(income_max_row, $C:$C, 0),
           IF(header_row_id=expenses_header_row, MATCH(expenses_max_row, $C:$C, 0),
               IF(header_row_id=savings_header_row, MATCH(savings_max_row, $C:$C, 0),""))), "")</f>
        <v/>
      </c>
      <c r="O110" s="6" t="str">
        <f t="shared" ca="1" si="3"/>
        <v/>
      </c>
      <c r="P110" t="str">
        <f t="shared" ca="1" si="4"/>
        <v/>
      </c>
      <c r="Q110" t="str">
        <f t="shared" ca="1" si="5"/>
        <v/>
      </c>
      <c r="R110" s="7" t="str">
        <f t="shared" ca="1" si="6"/>
        <v/>
      </c>
      <c r="S110" s="6" t="str">
        <f ca="1">IF(is_cat, _xlfn.NUMBERVALUE( tracked_rank &amp; IF(LEN(budget_rank)=1, "0", "") &amp; budget_rank), "")</f>
        <v/>
      </c>
      <c r="T110" t="str">
        <f t="shared" ca="1" si="7"/>
        <v/>
      </c>
      <c r="U110" t="str">
        <f t="shared" ca="1" si="8"/>
        <v/>
      </c>
      <c r="V110" t="str">
        <f t="shared" ca="1" si="9"/>
        <v/>
      </c>
      <c r="W110" s="7" t="str">
        <f t="shared" ca="1" si="10"/>
        <v/>
      </c>
      <c r="X110" s="57">
        <f t="shared" ca="1" si="11"/>
        <v>-1</v>
      </c>
      <c r="Y110" s="58" t="str">
        <f t="shared" ca="1" si="12"/>
        <v/>
      </c>
      <c r="Z110" s="60" t="str">
        <f t="shared" ca="1" si="13"/>
        <v/>
      </c>
      <c r="AA110" s="60" t="str">
        <f t="shared" ca="1" si="14"/>
        <v/>
      </c>
      <c r="AB110" s="59" t="str">
        <f t="shared" ca="1" si="15"/>
        <v/>
      </c>
      <c r="AC110" s="60" t="str">
        <f t="shared" ca="1" si="16"/>
        <v/>
      </c>
      <c r="AD110" s="60" t="str">
        <f t="shared" ca="1" si="17"/>
        <v/>
      </c>
    </row>
    <row r="111" spans="3:30" x14ac:dyDescent="0.2">
      <c r="C111" s="6" cm="1">
        <f t="array" aca="1" ref="C111" ca="1">IF(C110=-1,-1,
      IF(C110&lt;income_max_row, C110+1,
          IF(C110=income_max_row, income_total_row,
              IF(C110=income_total_row, "/1",
                  IF(C110="/1", expenses_header_row,
                      IF(C110&lt;expenses_max_row, C110+1,
                          IF(C110=expenses_max_row, expenses_total_row,
                              IF(C110=expenses_total_row, "/2",
                                  IF(C110="/2", savings_header_row,
                                      IF(C110&lt;savings_max_row, C110+1,
                                          IF(C110=savings_max_row, savings_total_row, -1)))))))))))</f>
        <v>-1</v>
      </c>
      <c r="D111" s="7">
        <f t="shared" ca="1" si="0"/>
        <v>-1</v>
      </c>
      <c r="E111" s="6" cm="1">
        <f t="array" aca="1" ref="E111" ca="1">1*OR(row_id=income_header_row, row_id=expenses_header_row, row_id=savings_header_row)</f>
        <v>0</v>
      </c>
      <c r="F111">
        <f t="shared" ca="1" si="1"/>
        <v>0</v>
      </c>
      <c r="G111" cm="1">
        <f t="array" aca="1" ref="G111" ca="1">1*OR(row_id=income_total_row, row_id=expenses_total_row, row_id=savings_total_row)</f>
        <v>0</v>
      </c>
      <c r="H111" s="7">
        <f t="shared" ca="1" si="2"/>
        <v>1</v>
      </c>
      <c r="I111" s="6" t="str" cm="1">
        <f t="array" aca="1" ref="I111" ca="1">IFERROR(INDEX('Budget Planning'!$C:$C, header_row_id),"")</f>
        <v/>
      </c>
      <c r="J111" t="str" cm="1">
        <f t="array" aca="1" ref="J111" ca="1">IFERROR(INDEX('Budget Planning'!$C:$C, row_id),"")</f>
        <v/>
      </c>
      <c r="K111" s="54" t="str" cm="1">
        <f t="array" aca="1" ref="K11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1" s="55" t="str" cm="1">
        <f t="array" aca="1" ref="L111" ca="1">IF(OR(is_header, is_empty), "",
      INDEX('Budget Planning'!$E:$EM, row_id,
                  MATCH(IF(selected_period="Total Year", selected_year, DATE(selected_year, selected_period, 1)), 'Budget Planning'!$E$9:$EM$9, 0)  ))</f>
        <v/>
      </c>
      <c r="M111" s="6" t="str" cm="1">
        <f t="array" aca="1" ref="M111" ca="1">IF(is_cat,
       IF(header_row_id=income_header_row, MATCH(income_min_row, $C:$C, 0),
           IF(header_row_id=expenses_header_row, MATCH(expenses_min_row, $C:$C, 0),
               IF(header_row_id=savings_header_row, MATCH(savings_min_row, $C:$C, 0),""))), "")</f>
        <v/>
      </c>
      <c r="N111" s="7" t="str" cm="1">
        <f t="array" aca="1" ref="N111" ca="1">IF(is_cat,
       IF(header_row_id=income_header_row, MATCH(income_max_row, $C:$C, 0),
           IF(header_row_id=expenses_header_row, MATCH(expenses_max_row, $C:$C, 0),
               IF(header_row_id=savings_header_row, MATCH(savings_max_row, $C:$C, 0),""))), "")</f>
        <v/>
      </c>
      <c r="O111" s="6" t="str">
        <f t="shared" ca="1" si="3"/>
        <v/>
      </c>
      <c r="P111" t="str">
        <f t="shared" ca="1" si="4"/>
        <v/>
      </c>
      <c r="Q111" t="str">
        <f t="shared" ca="1" si="5"/>
        <v/>
      </c>
      <c r="R111" s="7" t="str">
        <f t="shared" ca="1" si="6"/>
        <v/>
      </c>
      <c r="S111" s="6" t="str">
        <f ca="1">IF(is_cat, _xlfn.NUMBERVALUE( tracked_rank &amp; IF(LEN(budget_rank)=1, "0", "") &amp; budget_rank), "")</f>
        <v/>
      </c>
      <c r="T111" t="str">
        <f t="shared" ca="1" si="7"/>
        <v/>
      </c>
      <c r="U111" t="str">
        <f t="shared" ca="1" si="8"/>
        <v/>
      </c>
      <c r="V111" t="str">
        <f t="shared" ca="1" si="9"/>
        <v/>
      </c>
      <c r="W111" s="7" t="str">
        <f t="shared" ca="1" si="10"/>
        <v/>
      </c>
      <c r="X111" s="57">
        <f t="shared" ca="1" si="11"/>
        <v>-1</v>
      </c>
      <c r="Y111" s="58" t="str">
        <f t="shared" ca="1" si="12"/>
        <v/>
      </c>
      <c r="Z111" s="60" t="str">
        <f t="shared" ca="1" si="13"/>
        <v/>
      </c>
      <c r="AA111" s="60" t="str">
        <f t="shared" ca="1" si="14"/>
        <v/>
      </c>
      <c r="AB111" s="59" t="str">
        <f t="shared" ca="1" si="15"/>
        <v/>
      </c>
      <c r="AC111" s="60" t="str">
        <f t="shared" ca="1" si="16"/>
        <v/>
      </c>
      <c r="AD111" s="60" t="str">
        <f t="shared" ca="1" si="17"/>
        <v/>
      </c>
    </row>
    <row r="112" spans="3:30" x14ac:dyDescent="0.2">
      <c r="C112" s="6" cm="1">
        <f t="array" aca="1" ref="C112" ca="1">IF(C111=-1,-1,
      IF(C111&lt;income_max_row, C111+1,
          IF(C111=income_max_row, income_total_row,
              IF(C111=income_total_row, "/1",
                  IF(C111="/1", expenses_header_row,
                      IF(C111&lt;expenses_max_row, C111+1,
                          IF(C111=expenses_max_row, expenses_total_row,
                              IF(C111=expenses_total_row, "/2",
                                  IF(C111="/2", savings_header_row,
                                      IF(C111&lt;savings_max_row, C111+1,
                                          IF(C111=savings_max_row, savings_total_row, -1)))))))))))</f>
        <v>-1</v>
      </c>
      <c r="D112" s="7">
        <f t="shared" ca="1" si="0"/>
        <v>-1</v>
      </c>
      <c r="E112" s="6" cm="1">
        <f t="array" aca="1" ref="E112" ca="1">1*OR(row_id=income_header_row, row_id=expenses_header_row, row_id=savings_header_row)</f>
        <v>0</v>
      </c>
      <c r="F112">
        <f t="shared" ca="1" si="1"/>
        <v>0</v>
      </c>
      <c r="G112" cm="1">
        <f t="array" aca="1" ref="G112" ca="1">1*OR(row_id=income_total_row, row_id=expenses_total_row, row_id=savings_total_row)</f>
        <v>0</v>
      </c>
      <c r="H112" s="7">
        <f t="shared" ca="1" si="2"/>
        <v>1</v>
      </c>
      <c r="I112" s="6" t="str" cm="1">
        <f t="array" aca="1" ref="I112" ca="1">IFERROR(INDEX('Budget Planning'!$C:$C, header_row_id),"")</f>
        <v/>
      </c>
      <c r="J112" t="str" cm="1">
        <f t="array" aca="1" ref="J112" ca="1">IFERROR(INDEX('Budget Planning'!$C:$C, row_id),"")</f>
        <v/>
      </c>
      <c r="K112" s="54" t="str" cm="1">
        <f t="array" aca="1" ref="K11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2" s="55" t="str" cm="1">
        <f t="array" aca="1" ref="L112" ca="1">IF(OR(is_header, is_empty), "",
      INDEX('Budget Planning'!$E:$EM, row_id,
                  MATCH(IF(selected_period="Total Year", selected_year, DATE(selected_year, selected_period, 1)), 'Budget Planning'!$E$9:$EM$9, 0)  ))</f>
        <v/>
      </c>
      <c r="M112" s="6" t="str" cm="1">
        <f t="array" aca="1" ref="M112" ca="1">IF(is_cat,
       IF(header_row_id=income_header_row, MATCH(income_min_row, $C:$C, 0),
           IF(header_row_id=expenses_header_row, MATCH(expenses_min_row, $C:$C, 0),
               IF(header_row_id=savings_header_row, MATCH(savings_min_row, $C:$C, 0),""))), "")</f>
        <v/>
      </c>
      <c r="N112" s="7" t="str" cm="1">
        <f t="array" aca="1" ref="N112" ca="1">IF(is_cat,
       IF(header_row_id=income_header_row, MATCH(income_max_row, $C:$C, 0),
           IF(header_row_id=expenses_header_row, MATCH(expenses_max_row, $C:$C, 0),
               IF(header_row_id=savings_header_row, MATCH(savings_max_row, $C:$C, 0),""))), "")</f>
        <v/>
      </c>
      <c r="O112" s="6" t="str">
        <f t="shared" ca="1" si="3"/>
        <v/>
      </c>
      <c r="P112" t="str">
        <f t="shared" ca="1" si="4"/>
        <v/>
      </c>
      <c r="Q112" t="str">
        <f t="shared" ca="1" si="5"/>
        <v/>
      </c>
      <c r="R112" s="7" t="str">
        <f t="shared" ca="1" si="6"/>
        <v/>
      </c>
      <c r="S112" s="6" t="str">
        <f ca="1">IF(is_cat, _xlfn.NUMBERVALUE( tracked_rank &amp; IF(LEN(budget_rank)=1, "0", "") &amp; budget_rank), "")</f>
        <v/>
      </c>
      <c r="T112" t="str">
        <f t="shared" ca="1" si="7"/>
        <v/>
      </c>
      <c r="U112" t="str">
        <f t="shared" ca="1" si="8"/>
        <v/>
      </c>
      <c r="V112" t="str">
        <f t="shared" ca="1" si="9"/>
        <v/>
      </c>
      <c r="W112" s="7" t="str">
        <f t="shared" ca="1" si="10"/>
        <v/>
      </c>
      <c r="X112" s="57">
        <f t="shared" ca="1" si="11"/>
        <v>-1</v>
      </c>
      <c r="Y112" s="58" t="str">
        <f t="shared" ca="1" si="12"/>
        <v/>
      </c>
      <c r="Z112" s="60" t="str">
        <f t="shared" ca="1" si="13"/>
        <v/>
      </c>
      <c r="AA112" s="60" t="str">
        <f t="shared" ca="1" si="14"/>
        <v/>
      </c>
      <c r="AB112" s="59" t="str">
        <f t="shared" ca="1" si="15"/>
        <v/>
      </c>
      <c r="AC112" s="60" t="str">
        <f t="shared" ca="1" si="16"/>
        <v/>
      </c>
      <c r="AD112" s="60" t="str">
        <f t="shared" ca="1" si="17"/>
        <v/>
      </c>
    </row>
    <row r="113" spans="3:30" x14ac:dyDescent="0.2">
      <c r="C113" s="6" cm="1">
        <f t="array" aca="1" ref="C113" ca="1">IF(C112=-1,-1,
      IF(C112&lt;income_max_row, C112+1,
          IF(C112=income_max_row, income_total_row,
              IF(C112=income_total_row, "/1",
                  IF(C112="/1", expenses_header_row,
                      IF(C112&lt;expenses_max_row, C112+1,
                          IF(C112=expenses_max_row, expenses_total_row,
                              IF(C112=expenses_total_row, "/2",
                                  IF(C112="/2", savings_header_row,
                                      IF(C112&lt;savings_max_row, C112+1,
                                          IF(C112=savings_max_row, savings_total_row, -1)))))))))))</f>
        <v>-1</v>
      </c>
      <c r="D113" s="7">
        <f t="shared" ca="1" si="0"/>
        <v>-1</v>
      </c>
      <c r="E113" s="6" cm="1">
        <f t="array" aca="1" ref="E113" ca="1">1*OR(row_id=income_header_row, row_id=expenses_header_row, row_id=savings_header_row)</f>
        <v>0</v>
      </c>
      <c r="F113">
        <f t="shared" ca="1" si="1"/>
        <v>0</v>
      </c>
      <c r="G113" cm="1">
        <f t="array" aca="1" ref="G113" ca="1">1*OR(row_id=income_total_row, row_id=expenses_total_row, row_id=savings_total_row)</f>
        <v>0</v>
      </c>
      <c r="H113" s="7">
        <f t="shared" ca="1" si="2"/>
        <v>1</v>
      </c>
      <c r="I113" s="6" t="str" cm="1">
        <f t="array" aca="1" ref="I113" ca="1">IFERROR(INDEX('Budget Planning'!$C:$C, header_row_id),"")</f>
        <v/>
      </c>
      <c r="J113" t="str" cm="1">
        <f t="array" aca="1" ref="J113" ca="1">IFERROR(INDEX('Budget Planning'!$C:$C, row_id),"")</f>
        <v/>
      </c>
      <c r="K113" s="54" t="str" cm="1">
        <f t="array" aca="1" ref="K11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3" s="55" t="str" cm="1">
        <f t="array" aca="1" ref="L113" ca="1">IF(OR(is_header, is_empty), "",
      INDEX('Budget Planning'!$E:$EM, row_id,
                  MATCH(IF(selected_period="Total Year", selected_year, DATE(selected_year, selected_period, 1)), 'Budget Planning'!$E$9:$EM$9, 0)  ))</f>
        <v/>
      </c>
      <c r="M113" s="6" t="str" cm="1">
        <f t="array" aca="1" ref="M113" ca="1">IF(is_cat,
       IF(header_row_id=income_header_row, MATCH(income_min_row, $C:$C, 0),
           IF(header_row_id=expenses_header_row, MATCH(expenses_min_row, $C:$C, 0),
               IF(header_row_id=savings_header_row, MATCH(savings_min_row, $C:$C, 0),""))), "")</f>
        <v/>
      </c>
      <c r="N113" s="7" t="str" cm="1">
        <f t="array" aca="1" ref="N113" ca="1">IF(is_cat,
       IF(header_row_id=income_header_row, MATCH(income_max_row, $C:$C, 0),
           IF(header_row_id=expenses_header_row, MATCH(expenses_max_row, $C:$C, 0),
               IF(header_row_id=savings_header_row, MATCH(savings_max_row, $C:$C, 0),""))), "")</f>
        <v/>
      </c>
      <c r="O113" s="6" t="str">
        <f t="shared" ca="1" si="3"/>
        <v/>
      </c>
      <c r="P113" t="str">
        <f t="shared" ca="1" si="4"/>
        <v/>
      </c>
      <c r="Q113" t="str">
        <f t="shared" ca="1" si="5"/>
        <v/>
      </c>
      <c r="R113" s="7" t="str">
        <f t="shared" ca="1" si="6"/>
        <v/>
      </c>
      <c r="S113" s="6" t="str">
        <f ca="1">IF(is_cat, _xlfn.NUMBERVALUE( tracked_rank &amp; IF(LEN(budget_rank)=1, "0", "") &amp; budget_rank), "")</f>
        <v/>
      </c>
      <c r="T113" t="str">
        <f t="shared" ca="1" si="7"/>
        <v/>
      </c>
      <c r="U113" t="str">
        <f t="shared" ca="1" si="8"/>
        <v/>
      </c>
      <c r="V113" t="str">
        <f t="shared" ca="1" si="9"/>
        <v/>
      </c>
      <c r="W113" s="7" t="str">
        <f t="shared" ca="1" si="10"/>
        <v/>
      </c>
      <c r="X113" s="57">
        <f t="shared" ca="1" si="11"/>
        <v>-1</v>
      </c>
      <c r="Y113" s="58" t="str">
        <f t="shared" ca="1" si="12"/>
        <v/>
      </c>
      <c r="Z113" s="60" t="str">
        <f t="shared" ca="1" si="13"/>
        <v/>
      </c>
      <c r="AA113" s="60" t="str">
        <f t="shared" ca="1" si="14"/>
        <v/>
      </c>
      <c r="AB113" s="59" t="str">
        <f t="shared" ca="1" si="15"/>
        <v/>
      </c>
      <c r="AC113" s="60" t="str">
        <f t="shared" ca="1" si="16"/>
        <v/>
      </c>
      <c r="AD113" s="60" t="str">
        <f t="shared" ca="1" si="17"/>
        <v/>
      </c>
    </row>
    <row r="114" spans="3:30" x14ac:dyDescent="0.2">
      <c r="C114" s="6" cm="1">
        <f t="array" aca="1" ref="C114" ca="1">IF(C113=-1,-1,
      IF(C113&lt;income_max_row, C113+1,
          IF(C113=income_max_row, income_total_row,
              IF(C113=income_total_row, "/1",
                  IF(C113="/1", expenses_header_row,
                      IF(C113&lt;expenses_max_row, C113+1,
                          IF(C113=expenses_max_row, expenses_total_row,
                              IF(C113=expenses_total_row, "/2",
                                  IF(C113="/2", savings_header_row,
                                      IF(C113&lt;savings_max_row, C113+1,
                                          IF(C113=savings_max_row, savings_total_row, -1)))))))))))</f>
        <v>-1</v>
      </c>
      <c r="D114" s="7">
        <f t="shared" ca="1" si="0"/>
        <v>-1</v>
      </c>
      <c r="E114" s="6" cm="1">
        <f t="array" aca="1" ref="E114" ca="1">1*OR(row_id=income_header_row, row_id=expenses_header_row, row_id=savings_header_row)</f>
        <v>0</v>
      </c>
      <c r="F114">
        <f t="shared" ca="1" si="1"/>
        <v>0</v>
      </c>
      <c r="G114" cm="1">
        <f t="array" aca="1" ref="G114" ca="1">1*OR(row_id=income_total_row, row_id=expenses_total_row, row_id=savings_total_row)</f>
        <v>0</v>
      </c>
      <c r="H114" s="7">
        <f t="shared" ca="1" si="2"/>
        <v>1</v>
      </c>
      <c r="I114" s="6" t="str" cm="1">
        <f t="array" aca="1" ref="I114" ca="1">IFERROR(INDEX('Budget Planning'!$C:$C, header_row_id),"")</f>
        <v/>
      </c>
      <c r="J114" t="str" cm="1">
        <f t="array" aca="1" ref="J114" ca="1">IFERROR(INDEX('Budget Planning'!$C:$C, row_id),"")</f>
        <v/>
      </c>
      <c r="K114" s="54" t="str" cm="1">
        <f t="array" aca="1" ref="K11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4" s="55" t="str" cm="1">
        <f t="array" aca="1" ref="L114" ca="1">IF(OR(is_header, is_empty), "",
      INDEX('Budget Planning'!$E:$EM, row_id,
                  MATCH(IF(selected_period="Total Year", selected_year, DATE(selected_year, selected_period, 1)), 'Budget Planning'!$E$9:$EM$9, 0)  ))</f>
        <v/>
      </c>
      <c r="M114" s="6" t="str" cm="1">
        <f t="array" aca="1" ref="M114" ca="1">IF(is_cat,
       IF(header_row_id=income_header_row, MATCH(income_min_row, $C:$C, 0),
           IF(header_row_id=expenses_header_row, MATCH(expenses_min_row, $C:$C, 0),
               IF(header_row_id=savings_header_row, MATCH(savings_min_row, $C:$C, 0),""))), "")</f>
        <v/>
      </c>
      <c r="N114" s="7" t="str" cm="1">
        <f t="array" aca="1" ref="N114" ca="1">IF(is_cat,
       IF(header_row_id=income_header_row, MATCH(income_max_row, $C:$C, 0),
           IF(header_row_id=expenses_header_row, MATCH(expenses_max_row, $C:$C, 0),
               IF(header_row_id=savings_header_row, MATCH(savings_max_row, $C:$C, 0),""))), "")</f>
        <v/>
      </c>
      <c r="O114" s="6" t="str">
        <f t="shared" ca="1" si="3"/>
        <v/>
      </c>
      <c r="P114" t="str">
        <f t="shared" ca="1" si="4"/>
        <v/>
      </c>
      <c r="Q114" t="str">
        <f t="shared" ca="1" si="5"/>
        <v/>
      </c>
      <c r="R114" s="7" t="str">
        <f t="shared" ca="1" si="6"/>
        <v/>
      </c>
      <c r="S114" s="6" t="str">
        <f ca="1">IF(is_cat, _xlfn.NUMBERVALUE( tracked_rank &amp; IF(LEN(budget_rank)=1, "0", "") &amp; budget_rank), "")</f>
        <v/>
      </c>
      <c r="T114" t="str">
        <f t="shared" ca="1" si="7"/>
        <v/>
      </c>
      <c r="U114" t="str">
        <f t="shared" ca="1" si="8"/>
        <v/>
      </c>
      <c r="V114" t="str">
        <f t="shared" ca="1" si="9"/>
        <v/>
      </c>
      <c r="W114" s="7" t="str">
        <f t="shared" ca="1" si="10"/>
        <v/>
      </c>
      <c r="X114" s="57">
        <f t="shared" ca="1" si="11"/>
        <v>-1</v>
      </c>
      <c r="Y114" s="58" t="str">
        <f t="shared" ca="1" si="12"/>
        <v/>
      </c>
      <c r="Z114" s="60" t="str">
        <f t="shared" ca="1" si="13"/>
        <v/>
      </c>
      <c r="AA114" s="60" t="str">
        <f t="shared" ca="1" si="14"/>
        <v/>
      </c>
      <c r="AB114" s="59" t="str">
        <f t="shared" ca="1" si="15"/>
        <v/>
      </c>
      <c r="AC114" s="60" t="str">
        <f t="shared" ca="1" si="16"/>
        <v/>
      </c>
      <c r="AD114" s="60" t="str">
        <f t="shared" ca="1" si="17"/>
        <v/>
      </c>
    </row>
    <row r="115" spans="3:30" x14ac:dyDescent="0.2">
      <c r="C115" s="6" cm="1">
        <f t="array" aca="1" ref="C115" ca="1">IF(C114=-1,-1,
      IF(C114&lt;income_max_row, C114+1,
          IF(C114=income_max_row, income_total_row,
              IF(C114=income_total_row, "/1",
                  IF(C114="/1", expenses_header_row,
                      IF(C114&lt;expenses_max_row, C114+1,
                          IF(C114=expenses_max_row, expenses_total_row,
                              IF(C114=expenses_total_row, "/2",
                                  IF(C114="/2", savings_header_row,
                                      IF(C114&lt;savings_max_row, C114+1,
                                          IF(C114=savings_max_row, savings_total_row, -1)))))))))))</f>
        <v>-1</v>
      </c>
      <c r="D115" s="7">
        <f t="shared" ca="1" si="0"/>
        <v>-1</v>
      </c>
      <c r="E115" s="6" cm="1">
        <f t="array" aca="1" ref="E115" ca="1">1*OR(row_id=income_header_row, row_id=expenses_header_row, row_id=savings_header_row)</f>
        <v>0</v>
      </c>
      <c r="F115">
        <f t="shared" ca="1" si="1"/>
        <v>0</v>
      </c>
      <c r="G115" cm="1">
        <f t="array" aca="1" ref="G115" ca="1">1*OR(row_id=income_total_row, row_id=expenses_total_row, row_id=savings_total_row)</f>
        <v>0</v>
      </c>
      <c r="H115" s="7">
        <f t="shared" ca="1" si="2"/>
        <v>1</v>
      </c>
      <c r="I115" s="6" t="str" cm="1">
        <f t="array" aca="1" ref="I115" ca="1">IFERROR(INDEX('Budget Planning'!$C:$C, header_row_id),"")</f>
        <v/>
      </c>
      <c r="J115" t="str" cm="1">
        <f t="array" aca="1" ref="J115" ca="1">IFERROR(INDEX('Budget Planning'!$C:$C, row_id),"")</f>
        <v/>
      </c>
      <c r="K115" s="54" t="str" cm="1">
        <f t="array" aca="1" ref="K11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5" s="55" t="str" cm="1">
        <f t="array" aca="1" ref="L115" ca="1">IF(OR(is_header, is_empty), "",
      INDEX('Budget Planning'!$E:$EM, row_id,
                  MATCH(IF(selected_period="Total Year", selected_year, DATE(selected_year, selected_period, 1)), 'Budget Planning'!$E$9:$EM$9, 0)  ))</f>
        <v/>
      </c>
      <c r="M115" s="6" t="str" cm="1">
        <f t="array" aca="1" ref="M115" ca="1">IF(is_cat,
       IF(header_row_id=income_header_row, MATCH(income_min_row, $C:$C, 0),
           IF(header_row_id=expenses_header_row, MATCH(expenses_min_row, $C:$C, 0),
               IF(header_row_id=savings_header_row, MATCH(savings_min_row, $C:$C, 0),""))), "")</f>
        <v/>
      </c>
      <c r="N115" s="7" t="str" cm="1">
        <f t="array" aca="1" ref="N115" ca="1">IF(is_cat,
       IF(header_row_id=income_header_row, MATCH(income_max_row, $C:$C, 0),
           IF(header_row_id=expenses_header_row, MATCH(expenses_max_row, $C:$C, 0),
               IF(header_row_id=savings_header_row, MATCH(savings_max_row, $C:$C, 0),""))), "")</f>
        <v/>
      </c>
      <c r="O115" s="6" t="str">
        <f t="shared" ca="1" si="3"/>
        <v/>
      </c>
      <c r="P115" t="str">
        <f t="shared" ca="1" si="4"/>
        <v/>
      </c>
      <c r="Q115" t="str">
        <f t="shared" ca="1" si="5"/>
        <v/>
      </c>
      <c r="R115" s="7" t="str">
        <f t="shared" ca="1" si="6"/>
        <v/>
      </c>
      <c r="S115" s="6" t="str">
        <f ca="1">IF(is_cat, _xlfn.NUMBERVALUE( tracked_rank &amp; IF(LEN(budget_rank)=1, "0", "") &amp; budget_rank), "")</f>
        <v/>
      </c>
      <c r="T115" t="str">
        <f t="shared" ca="1" si="7"/>
        <v/>
      </c>
      <c r="U115" t="str">
        <f t="shared" ca="1" si="8"/>
        <v/>
      </c>
      <c r="V115" t="str">
        <f t="shared" ca="1" si="9"/>
        <v/>
      </c>
      <c r="W115" s="7" t="str">
        <f t="shared" ca="1" si="10"/>
        <v/>
      </c>
      <c r="X115" s="57">
        <f t="shared" ca="1" si="11"/>
        <v>-1</v>
      </c>
      <c r="Y115" s="58" t="str">
        <f t="shared" ca="1" si="12"/>
        <v/>
      </c>
      <c r="Z115" s="60" t="str">
        <f t="shared" ca="1" si="13"/>
        <v/>
      </c>
      <c r="AA115" s="60" t="str">
        <f t="shared" ca="1" si="14"/>
        <v/>
      </c>
      <c r="AB115" s="59" t="str">
        <f t="shared" ca="1" si="15"/>
        <v/>
      </c>
      <c r="AC115" s="60" t="str">
        <f t="shared" ca="1" si="16"/>
        <v/>
      </c>
      <c r="AD115" s="60" t="str">
        <f t="shared" ca="1" si="17"/>
        <v/>
      </c>
    </row>
    <row r="116" spans="3:30" x14ac:dyDescent="0.2">
      <c r="C116" s="6" cm="1">
        <f t="array" aca="1" ref="C116" ca="1">IF(C115=-1,-1,
      IF(C115&lt;income_max_row, C115+1,
          IF(C115=income_max_row, income_total_row,
              IF(C115=income_total_row, "/1",
                  IF(C115="/1", expenses_header_row,
                      IF(C115&lt;expenses_max_row, C115+1,
                          IF(C115=expenses_max_row, expenses_total_row,
                              IF(C115=expenses_total_row, "/2",
                                  IF(C115="/2", savings_header_row,
                                      IF(C115&lt;savings_max_row, C115+1,
                                          IF(C115=savings_max_row, savings_total_row, -1)))))))))))</f>
        <v>-1</v>
      </c>
      <c r="D116" s="7">
        <f t="shared" ca="1" si="0"/>
        <v>-1</v>
      </c>
      <c r="E116" s="6" cm="1">
        <f t="array" aca="1" ref="E116" ca="1">1*OR(row_id=income_header_row, row_id=expenses_header_row, row_id=savings_header_row)</f>
        <v>0</v>
      </c>
      <c r="F116">
        <f t="shared" ca="1" si="1"/>
        <v>0</v>
      </c>
      <c r="G116" cm="1">
        <f t="array" aca="1" ref="G116" ca="1">1*OR(row_id=income_total_row, row_id=expenses_total_row, row_id=savings_total_row)</f>
        <v>0</v>
      </c>
      <c r="H116" s="7">
        <f t="shared" ca="1" si="2"/>
        <v>1</v>
      </c>
      <c r="I116" s="6" t="str" cm="1">
        <f t="array" aca="1" ref="I116" ca="1">IFERROR(INDEX('Budget Planning'!$C:$C, header_row_id),"")</f>
        <v/>
      </c>
      <c r="J116" t="str" cm="1">
        <f t="array" aca="1" ref="J116" ca="1">IFERROR(INDEX('Budget Planning'!$C:$C, row_id),"")</f>
        <v/>
      </c>
      <c r="K116" s="54" t="str" cm="1">
        <f t="array" aca="1" ref="K11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6" s="55" t="str" cm="1">
        <f t="array" aca="1" ref="L116" ca="1">IF(OR(is_header, is_empty), "",
      INDEX('Budget Planning'!$E:$EM, row_id,
                  MATCH(IF(selected_period="Total Year", selected_year, DATE(selected_year, selected_period, 1)), 'Budget Planning'!$E$9:$EM$9, 0)  ))</f>
        <v/>
      </c>
      <c r="M116" s="6" t="str" cm="1">
        <f t="array" aca="1" ref="M116" ca="1">IF(is_cat,
       IF(header_row_id=income_header_row, MATCH(income_min_row, $C:$C, 0),
           IF(header_row_id=expenses_header_row, MATCH(expenses_min_row, $C:$C, 0),
               IF(header_row_id=savings_header_row, MATCH(savings_min_row, $C:$C, 0),""))), "")</f>
        <v/>
      </c>
      <c r="N116" s="7" t="str" cm="1">
        <f t="array" aca="1" ref="N116" ca="1">IF(is_cat,
       IF(header_row_id=income_header_row, MATCH(income_max_row, $C:$C, 0),
           IF(header_row_id=expenses_header_row, MATCH(expenses_max_row, $C:$C, 0),
               IF(header_row_id=savings_header_row, MATCH(savings_max_row, $C:$C, 0),""))), "")</f>
        <v/>
      </c>
      <c r="O116" s="6" t="str">
        <f t="shared" ca="1" si="3"/>
        <v/>
      </c>
      <c r="P116" t="str">
        <f t="shared" ca="1" si="4"/>
        <v/>
      </c>
      <c r="Q116" t="str">
        <f t="shared" ca="1" si="5"/>
        <v/>
      </c>
      <c r="R116" s="7" t="str">
        <f t="shared" ca="1" si="6"/>
        <v/>
      </c>
      <c r="S116" s="6" t="str">
        <f ca="1">IF(is_cat, _xlfn.NUMBERVALUE( tracked_rank &amp; IF(LEN(budget_rank)=1, "0", "") &amp; budget_rank), "")</f>
        <v/>
      </c>
      <c r="T116" t="str">
        <f t="shared" ca="1" si="7"/>
        <v/>
      </c>
      <c r="U116" t="str">
        <f t="shared" ca="1" si="8"/>
        <v/>
      </c>
      <c r="V116" t="str">
        <f t="shared" ca="1" si="9"/>
        <v/>
      </c>
      <c r="W116" s="7" t="str">
        <f t="shared" ca="1" si="10"/>
        <v/>
      </c>
      <c r="X116" s="57">
        <f t="shared" ca="1" si="11"/>
        <v>-1</v>
      </c>
      <c r="Y116" s="58" t="str">
        <f t="shared" ca="1" si="12"/>
        <v/>
      </c>
      <c r="Z116" s="60" t="str">
        <f t="shared" ca="1" si="13"/>
        <v/>
      </c>
      <c r="AA116" s="60" t="str">
        <f t="shared" ca="1" si="14"/>
        <v/>
      </c>
      <c r="AB116" s="59" t="str">
        <f t="shared" ca="1" si="15"/>
        <v/>
      </c>
      <c r="AC116" s="60" t="str">
        <f t="shared" ca="1" si="16"/>
        <v/>
      </c>
      <c r="AD116" s="60" t="str">
        <f t="shared" ca="1" si="17"/>
        <v/>
      </c>
    </row>
    <row r="117" spans="3:30" x14ac:dyDescent="0.2">
      <c r="C117" s="6" cm="1">
        <f t="array" aca="1" ref="C117" ca="1">IF(C116=-1,-1,
      IF(C116&lt;income_max_row, C116+1,
          IF(C116=income_max_row, income_total_row,
              IF(C116=income_total_row, "/1",
                  IF(C116="/1", expenses_header_row,
                      IF(C116&lt;expenses_max_row, C116+1,
                          IF(C116=expenses_max_row, expenses_total_row,
                              IF(C116=expenses_total_row, "/2",
                                  IF(C116="/2", savings_header_row,
                                      IF(C116&lt;savings_max_row, C116+1,
                                          IF(C116=savings_max_row, savings_total_row, -1)))))))))))</f>
        <v>-1</v>
      </c>
      <c r="D117" s="7">
        <f t="shared" ca="1" si="0"/>
        <v>-1</v>
      </c>
      <c r="E117" s="6" cm="1">
        <f t="array" aca="1" ref="E117" ca="1">1*OR(row_id=income_header_row, row_id=expenses_header_row, row_id=savings_header_row)</f>
        <v>0</v>
      </c>
      <c r="F117">
        <f t="shared" ca="1" si="1"/>
        <v>0</v>
      </c>
      <c r="G117" cm="1">
        <f t="array" aca="1" ref="G117" ca="1">1*OR(row_id=income_total_row, row_id=expenses_total_row, row_id=savings_total_row)</f>
        <v>0</v>
      </c>
      <c r="H117" s="7">
        <f t="shared" ca="1" si="2"/>
        <v>1</v>
      </c>
      <c r="I117" s="6" t="str" cm="1">
        <f t="array" aca="1" ref="I117" ca="1">IFERROR(INDEX('Budget Planning'!$C:$C, header_row_id),"")</f>
        <v/>
      </c>
      <c r="J117" t="str" cm="1">
        <f t="array" aca="1" ref="J117" ca="1">IFERROR(INDEX('Budget Planning'!$C:$C, row_id),"")</f>
        <v/>
      </c>
      <c r="K117" s="54" t="str" cm="1">
        <f t="array" aca="1" ref="K11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7" s="55" t="str" cm="1">
        <f t="array" aca="1" ref="L117" ca="1">IF(OR(is_header, is_empty), "",
      INDEX('Budget Planning'!$E:$EM, row_id,
                  MATCH(IF(selected_period="Total Year", selected_year, DATE(selected_year, selected_period, 1)), 'Budget Planning'!$E$9:$EM$9, 0)  ))</f>
        <v/>
      </c>
      <c r="M117" s="6" t="str" cm="1">
        <f t="array" aca="1" ref="M117" ca="1">IF(is_cat,
       IF(header_row_id=income_header_row, MATCH(income_min_row, $C:$C, 0),
           IF(header_row_id=expenses_header_row, MATCH(expenses_min_row, $C:$C, 0),
               IF(header_row_id=savings_header_row, MATCH(savings_min_row, $C:$C, 0),""))), "")</f>
        <v/>
      </c>
      <c r="N117" s="7" t="str" cm="1">
        <f t="array" aca="1" ref="N117" ca="1">IF(is_cat,
       IF(header_row_id=income_header_row, MATCH(income_max_row, $C:$C, 0),
           IF(header_row_id=expenses_header_row, MATCH(expenses_max_row, $C:$C, 0),
               IF(header_row_id=savings_header_row, MATCH(savings_max_row, $C:$C, 0),""))), "")</f>
        <v/>
      </c>
      <c r="O117" s="6" t="str">
        <f t="shared" ca="1" si="3"/>
        <v/>
      </c>
      <c r="P117" t="str">
        <f t="shared" ca="1" si="4"/>
        <v/>
      </c>
      <c r="Q117" t="str">
        <f t="shared" ca="1" si="5"/>
        <v/>
      </c>
      <c r="R117" s="7" t="str">
        <f t="shared" ca="1" si="6"/>
        <v/>
      </c>
      <c r="S117" s="6" t="str">
        <f ca="1">IF(is_cat, _xlfn.NUMBERVALUE( tracked_rank &amp; IF(LEN(budget_rank)=1, "0", "") &amp; budget_rank), "")</f>
        <v/>
      </c>
      <c r="T117" t="str">
        <f t="shared" ca="1" si="7"/>
        <v/>
      </c>
      <c r="U117" t="str">
        <f t="shared" ca="1" si="8"/>
        <v/>
      </c>
      <c r="V117" t="str">
        <f t="shared" ca="1" si="9"/>
        <v/>
      </c>
      <c r="W117" s="7" t="str">
        <f t="shared" ca="1" si="10"/>
        <v/>
      </c>
      <c r="X117" s="57">
        <f t="shared" ca="1" si="11"/>
        <v>-1</v>
      </c>
      <c r="Y117" s="58" t="str">
        <f t="shared" ca="1" si="12"/>
        <v/>
      </c>
      <c r="Z117" s="60" t="str">
        <f t="shared" ca="1" si="13"/>
        <v/>
      </c>
      <c r="AA117" s="60" t="str">
        <f t="shared" ca="1" si="14"/>
        <v/>
      </c>
      <c r="AB117" s="59" t="str">
        <f t="shared" ca="1" si="15"/>
        <v/>
      </c>
      <c r="AC117" s="60" t="str">
        <f t="shared" ca="1" si="16"/>
        <v/>
      </c>
      <c r="AD117" s="60" t="str">
        <f t="shared" ca="1" si="17"/>
        <v/>
      </c>
    </row>
    <row r="118" spans="3:30" x14ac:dyDescent="0.2">
      <c r="C118" s="6" cm="1">
        <f t="array" aca="1" ref="C118" ca="1">IF(C117=-1,-1,
      IF(C117&lt;income_max_row, C117+1,
          IF(C117=income_max_row, income_total_row,
              IF(C117=income_total_row, "/1",
                  IF(C117="/1", expenses_header_row,
                      IF(C117&lt;expenses_max_row, C117+1,
                          IF(C117=expenses_max_row, expenses_total_row,
                              IF(C117=expenses_total_row, "/2",
                                  IF(C117="/2", savings_header_row,
                                      IF(C117&lt;savings_max_row, C117+1,
                                          IF(C117=savings_max_row, savings_total_row, -1)))))))))))</f>
        <v>-1</v>
      </c>
      <c r="D118" s="7">
        <f t="shared" ca="1" si="0"/>
        <v>-1</v>
      </c>
      <c r="E118" s="6" cm="1">
        <f t="array" aca="1" ref="E118" ca="1">1*OR(row_id=income_header_row, row_id=expenses_header_row, row_id=savings_header_row)</f>
        <v>0</v>
      </c>
      <c r="F118">
        <f t="shared" ca="1" si="1"/>
        <v>0</v>
      </c>
      <c r="G118" cm="1">
        <f t="array" aca="1" ref="G118" ca="1">1*OR(row_id=income_total_row, row_id=expenses_total_row, row_id=savings_total_row)</f>
        <v>0</v>
      </c>
      <c r="H118" s="7">
        <f t="shared" ca="1" si="2"/>
        <v>1</v>
      </c>
      <c r="I118" s="6" t="str" cm="1">
        <f t="array" aca="1" ref="I118" ca="1">IFERROR(INDEX('Budget Planning'!$C:$C, header_row_id),"")</f>
        <v/>
      </c>
      <c r="J118" t="str" cm="1">
        <f t="array" aca="1" ref="J118" ca="1">IFERROR(INDEX('Budget Planning'!$C:$C, row_id),"")</f>
        <v/>
      </c>
      <c r="K118" s="54" t="str" cm="1">
        <f t="array" aca="1" ref="K11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8" s="55" t="str" cm="1">
        <f t="array" aca="1" ref="L118" ca="1">IF(OR(is_header, is_empty), "",
      INDEX('Budget Planning'!$E:$EM, row_id,
                  MATCH(IF(selected_period="Total Year", selected_year, DATE(selected_year, selected_period, 1)), 'Budget Planning'!$E$9:$EM$9, 0)  ))</f>
        <v/>
      </c>
      <c r="M118" s="6" t="str" cm="1">
        <f t="array" aca="1" ref="M118" ca="1">IF(is_cat,
       IF(header_row_id=income_header_row, MATCH(income_min_row, $C:$C, 0),
           IF(header_row_id=expenses_header_row, MATCH(expenses_min_row, $C:$C, 0),
               IF(header_row_id=savings_header_row, MATCH(savings_min_row, $C:$C, 0),""))), "")</f>
        <v/>
      </c>
      <c r="N118" s="7" t="str" cm="1">
        <f t="array" aca="1" ref="N118" ca="1">IF(is_cat,
       IF(header_row_id=income_header_row, MATCH(income_max_row, $C:$C, 0),
           IF(header_row_id=expenses_header_row, MATCH(expenses_max_row, $C:$C, 0),
               IF(header_row_id=savings_header_row, MATCH(savings_max_row, $C:$C, 0),""))), "")</f>
        <v/>
      </c>
      <c r="O118" s="6" t="str">
        <f t="shared" ca="1" si="3"/>
        <v/>
      </c>
      <c r="P118" t="str">
        <f t="shared" ca="1" si="4"/>
        <v/>
      </c>
      <c r="Q118" t="str">
        <f t="shared" ca="1" si="5"/>
        <v/>
      </c>
      <c r="R118" s="7" t="str">
        <f t="shared" ca="1" si="6"/>
        <v/>
      </c>
      <c r="S118" s="6" t="str">
        <f ca="1">IF(is_cat, _xlfn.NUMBERVALUE( tracked_rank &amp; IF(LEN(budget_rank)=1, "0", "") &amp; budget_rank), "")</f>
        <v/>
      </c>
      <c r="T118" t="str">
        <f t="shared" ca="1" si="7"/>
        <v/>
      </c>
      <c r="U118" t="str">
        <f t="shared" ca="1" si="8"/>
        <v/>
      </c>
      <c r="V118" t="str">
        <f t="shared" ca="1" si="9"/>
        <v/>
      </c>
      <c r="W118" s="7" t="str">
        <f t="shared" ca="1" si="10"/>
        <v/>
      </c>
      <c r="X118" s="57">
        <f t="shared" ca="1" si="11"/>
        <v>-1</v>
      </c>
      <c r="Y118" s="58" t="str">
        <f t="shared" ca="1" si="12"/>
        <v/>
      </c>
      <c r="Z118" s="60" t="str">
        <f t="shared" ca="1" si="13"/>
        <v/>
      </c>
      <c r="AA118" s="60" t="str">
        <f t="shared" ca="1" si="14"/>
        <v/>
      </c>
      <c r="AB118" s="59" t="str">
        <f t="shared" ca="1" si="15"/>
        <v/>
      </c>
      <c r="AC118" s="60" t="str">
        <f t="shared" ca="1" si="16"/>
        <v/>
      </c>
      <c r="AD118" s="60" t="str">
        <f t="shared" ca="1" si="17"/>
        <v/>
      </c>
    </row>
    <row r="119" spans="3:30" x14ac:dyDescent="0.2">
      <c r="C119" s="6" cm="1">
        <f t="array" aca="1" ref="C119" ca="1">IF(C118=-1,-1,
      IF(C118&lt;income_max_row, C118+1,
          IF(C118=income_max_row, income_total_row,
              IF(C118=income_total_row, "/1",
                  IF(C118="/1", expenses_header_row,
                      IF(C118&lt;expenses_max_row, C118+1,
                          IF(C118=expenses_max_row, expenses_total_row,
                              IF(C118=expenses_total_row, "/2",
                                  IF(C118="/2", savings_header_row,
                                      IF(C118&lt;savings_max_row, C118+1,
                                          IF(C118=savings_max_row, savings_total_row, -1)))))))))))</f>
        <v>-1</v>
      </c>
      <c r="D119" s="7">
        <f t="shared" ca="1" si="0"/>
        <v>-1</v>
      </c>
      <c r="E119" s="6" cm="1">
        <f t="array" aca="1" ref="E119" ca="1">1*OR(row_id=income_header_row, row_id=expenses_header_row, row_id=savings_header_row)</f>
        <v>0</v>
      </c>
      <c r="F119">
        <f t="shared" ca="1" si="1"/>
        <v>0</v>
      </c>
      <c r="G119" cm="1">
        <f t="array" aca="1" ref="G119" ca="1">1*OR(row_id=income_total_row, row_id=expenses_total_row, row_id=savings_total_row)</f>
        <v>0</v>
      </c>
      <c r="H119" s="7">
        <f t="shared" ca="1" si="2"/>
        <v>1</v>
      </c>
      <c r="I119" s="6" t="str" cm="1">
        <f t="array" aca="1" ref="I119" ca="1">IFERROR(INDEX('Budget Planning'!$C:$C, header_row_id),"")</f>
        <v/>
      </c>
      <c r="J119" t="str" cm="1">
        <f t="array" aca="1" ref="J119" ca="1">IFERROR(INDEX('Budget Planning'!$C:$C, row_id),"")</f>
        <v/>
      </c>
      <c r="K119" s="54" t="str" cm="1">
        <f t="array" aca="1" ref="K11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9" s="55" t="str" cm="1">
        <f t="array" aca="1" ref="L119" ca="1">IF(OR(is_header, is_empty), "",
      INDEX('Budget Planning'!$E:$EM, row_id,
                  MATCH(IF(selected_period="Total Year", selected_year, DATE(selected_year, selected_period, 1)), 'Budget Planning'!$E$9:$EM$9, 0)  ))</f>
        <v/>
      </c>
      <c r="M119" s="6" t="str" cm="1">
        <f t="array" aca="1" ref="M119" ca="1">IF(is_cat,
       IF(header_row_id=income_header_row, MATCH(income_min_row, $C:$C, 0),
           IF(header_row_id=expenses_header_row, MATCH(expenses_min_row, $C:$C, 0),
               IF(header_row_id=savings_header_row, MATCH(savings_min_row, $C:$C, 0),""))), "")</f>
        <v/>
      </c>
      <c r="N119" s="7" t="str" cm="1">
        <f t="array" aca="1" ref="N119" ca="1">IF(is_cat,
       IF(header_row_id=income_header_row, MATCH(income_max_row, $C:$C, 0),
           IF(header_row_id=expenses_header_row, MATCH(expenses_max_row, $C:$C, 0),
               IF(header_row_id=savings_header_row, MATCH(savings_max_row, $C:$C, 0),""))), "")</f>
        <v/>
      </c>
      <c r="O119" s="6" t="str">
        <f t="shared" ca="1" si="3"/>
        <v/>
      </c>
      <c r="P119" t="str">
        <f t="shared" ca="1" si="4"/>
        <v/>
      </c>
      <c r="Q119" t="str">
        <f t="shared" ca="1" si="5"/>
        <v/>
      </c>
      <c r="R119" s="7" t="str">
        <f t="shared" ca="1" si="6"/>
        <v/>
      </c>
      <c r="S119" s="6" t="str">
        <f ca="1">IF(is_cat, _xlfn.NUMBERVALUE( tracked_rank &amp; IF(LEN(budget_rank)=1, "0", "") &amp; budget_rank), "")</f>
        <v/>
      </c>
      <c r="T119" t="str">
        <f t="shared" ca="1" si="7"/>
        <v/>
      </c>
      <c r="U119" t="str">
        <f t="shared" ca="1" si="8"/>
        <v/>
      </c>
      <c r="V119" t="str">
        <f t="shared" ca="1" si="9"/>
        <v/>
      </c>
      <c r="W119" s="7" t="str">
        <f t="shared" ca="1" si="10"/>
        <v/>
      </c>
      <c r="X119" s="57">
        <f t="shared" ca="1" si="11"/>
        <v>-1</v>
      </c>
      <c r="Y119" s="58" t="str">
        <f t="shared" ca="1" si="12"/>
        <v/>
      </c>
      <c r="Z119" s="60" t="str">
        <f t="shared" ca="1" si="13"/>
        <v/>
      </c>
      <c r="AA119" s="60" t="str">
        <f t="shared" ca="1" si="14"/>
        <v/>
      </c>
      <c r="AB119" s="59" t="str">
        <f t="shared" ca="1" si="15"/>
        <v/>
      </c>
      <c r="AC119" s="60" t="str">
        <f t="shared" ca="1" si="16"/>
        <v/>
      </c>
      <c r="AD119" s="60" t="str">
        <f t="shared" ca="1" si="17"/>
        <v/>
      </c>
    </row>
    <row r="120" spans="3:30" x14ac:dyDescent="0.2">
      <c r="C120" s="6" cm="1">
        <f t="array" aca="1" ref="C120" ca="1">IF(C119=-1,-1,
      IF(C119&lt;income_max_row, C119+1,
          IF(C119=income_max_row, income_total_row,
              IF(C119=income_total_row, "/1",
                  IF(C119="/1", expenses_header_row,
                      IF(C119&lt;expenses_max_row, C119+1,
                          IF(C119=expenses_max_row, expenses_total_row,
                              IF(C119=expenses_total_row, "/2",
                                  IF(C119="/2", savings_header_row,
                                      IF(C119&lt;savings_max_row, C119+1,
                                          IF(C119=savings_max_row, savings_total_row, -1)))))))))))</f>
        <v>-1</v>
      </c>
      <c r="D120" s="7">
        <f t="shared" ca="1" si="0"/>
        <v>-1</v>
      </c>
      <c r="E120" s="6" cm="1">
        <f t="array" aca="1" ref="E120" ca="1">1*OR(row_id=income_header_row, row_id=expenses_header_row, row_id=savings_header_row)</f>
        <v>0</v>
      </c>
      <c r="F120">
        <f t="shared" ca="1" si="1"/>
        <v>0</v>
      </c>
      <c r="G120" cm="1">
        <f t="array" aca="1" ref="G120" ca="1">1*OR(row_id=income_total_row, row_id=expenses_total_row, row_id=savings_total_row)</f>
        <v>0</v>
      </c>
      <c r="H120" s="7">
        <f t="shared" ca="1" si="2"/>
        <v>1</v>
      </c>
      <c r="I120" s="6" t="str" cm="1">
        <f t="array" aca="1" ref="I120" ca="1">IFERROR(INDEX('Budget Planning'!$C:$C, header_row_id),"")</f>
        <v/>
      </c>
      <c r="J120" t="str" cm="1">
        <f t="array" aca="1" ref="J120" ca="1">IFERROR(INDEX('Budget Planning'!$C:$C, row_id),"")</f>
        <v/>
      </c>
      <c r="K120" s="54" t="str" cm="1">
        <f t="array" aca="1" ref="K12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20" s="55" t="str" cm="1">
        <f t="array" aca="1" ref="L120" ca="1">IF(OR(is_header, is_empty), "",
      INDEX('Budget Planning'!$E:$EM, row_id,
                  MATCH(IF(selected_period="Total Year", selected_year, DATE(selected_year, selected_period, 1)), 'Budget Planning'!$E$9:$EM$9, 0)  ))</f>
        <v/>
      </c>
      <c r="M120" s="6" t="str" cm="1">
        <f t="array" aca="1" ref="M120" ca="1">IF(is_cat,
       IF(header_row_id=income_header_row, MATCH(income_min_row, $C:$C, 0),
           IF(header_row_id=expenses_header_row, MATCH(expenses_min_row, $C:$C, 0),
               IF(header_row_id=savings_header_row, MATCH(savings_min_row, $C:$C, 0),""))), "")</f>
        <v/>
      </c>
      <c r="N120" s="7" t="str" cm="1">
        <f t="array" aca="1" ref="N120" ca="1">IF(is_cat,
       IF(header_row_id=income_header_row, MATCH(income_max_row, $C:$C, 0),
           IF(header_row_id=expenses_header_row, MATCH(expenses_max_row, $C:$C, 0),
               IF(header_row_id=savings_header_row, MATCH(savings_max_row, $C:$C, 0),""))), "")</f>
        <v/>
      </c>
      <c r="O120" s="6" t="str">
        <f t="shared" ca="1" si="3"/>
        <v/>
      </c>
      <c r="P120" t="str">
        <f t="shared" ca="1" si="4"/>
        <v/>
      </c>
      <c r="Q120" t="str">
        <f t="shared" ca="1" si="5"/>
        <v/>
      </c>
      <c r="R120" s="7" t="str">
        <f t="shared" ca="1" si="6"/>
        <v/>
      </c>
      <c r="S120" s="6" t="str">
        <f ca="1">IF(is_cat, _xlfn.NUMBERVALUE( tracked_rank &amp; IF(LEN(budget_rank)=1, "0", "") &amp; budget_rank), "")</f>
        <v/>
      </c>
      <c r="T120" t="str">
        <f t="shared" ca="1" si="7"/>
        <v/>
      </c>
      <c r="U120" t="str">
        <f t="shared" ca="1" si="8"/>
        <v/>
      </c>
      <c r="V120" t="str">
        <f t="shared" ca="1" si="9"/>
        <v/>
      </c>
      <c r="W120" s="7" t="str">
        <f t="shared" ca="1" si="10"/>
        <v/>
      </c>
      <c r="X120" s="57">
        <f t="shared" ca="1" si="11"/>
        <v>-1</v>
      </c>
      <c r="Y120" s="58" t="str">
        <f t="shared" ca="1" si="12"/>
        <v/>
      </c>
      <c r="Z120" s="60" t="str">
        <f t="shared" ca="1" si="13"/>
        <v/>
      </c>
      <c r="AA120" s="60" t="str">
        <f t="shared" ca="1" si="14"/>
        <v/>
      </c>
      <c r="AB120" s="59" t="str">
        <f t="shared" ca="1" si="15"/>
        <v/>
      </c>
      <c r="AC120" s="60" t="str">
        <f t="shared" ca="1" si="16"/>
        <v/>
      </c>
      <c r="AD120" s="60" t="str">
        <f t="shared" ca="1" si="17"/>
        <v/>
      </c>
    </row>
  </sheetData>
  <mergeCells count="8">
    <mergeCell ref="Y11:AD11"/>
    <mergeCell ref="AF11:AR11"/>
    <mergeCell ref="AQ5:AR5"/>
    <mergeCell ref="AQ6:AR6"/>
    <mergeCell ref="AN6:AP6"/>
    <mergeCell ref="AQ8:AR8"/>
    <mergeCell ref="AN9:AP9"/>
    <mergeCell ref="AQ9:AR9"/>
  </mergeCells>
  <conditionalFormatting sqref="Y13:AD120">
    <cfRule type="expression" dxfId="24" priority="22" stopIfTrue="1">
      <formula>is_total</formula>
    </cfRule>
    <cfRule type="expression" dxfId="23" priority="21" stopIfTrue="1">
      <formula>row_id=savings_header_row</formula>
    </cfRule>
    <cfRule type="expression" dxfId="22" priority="20" stopIfTrue="1">
      <formula>row_id=expenses_header_row</formula>
    </cfRule>
    <cfRule type="expression" dxfId="21" priority="19" stopIfTrue="1">
      <formula>row_id=income_header_row</formula>
    </cfRule>
  </conditionalFormatting>
  <conditionalFormatting sqref="AB13:AB120">
    <cfRule type="expression" dxfId="20" priority="25" stopIfTrue="1">
      <formula>AND(OR(is_cat, is_total), out_budget &gt; 0, out_percentage_completed &gt;= 1, header_row_id=savings_header_row)</formula>
    </cfRule>
    <cfRule type="expression" dxfId="19" priority="24" stopIfTrue="1">
      <formula>AND(OR(is_cat, is_total), out_budget &gt; 0, out_percentage_completed &gt;= 1, header_row_id=expenses_header_row)</formula>
    </cfRule>
    <cfRule type="expression" dxfId="18" priority="23" stopIfTrue="1">
      <formula>AND(OR(is_cat, is_total), out_budget &gt; 0, out_percentage_completed &gt;= 1, header_row_id=income_header_row)</formula>
    </cfRule>
    <cfRule type="dataBar" priority="26">
      <dataBar>
        <cfvo type="num" val="0"/>
        <cfvo type="num" val="1"/>
        <color theme="0" tint="-0.14999847407452621"/>
      </dataBar>
      <extLst>
        <ext xmlns:x14="http://schemas.microsoft.com/office/spreadsheetml/2009/9/main" uri="{B025F937-C7B1-47D3-B67F-A62EFF666E3E}">
          <x14:id>{D3603E73-040A-43F7-AE3B-13CB6B6FC638}</x14:id>
        </ext>
      </extLst>
    </cfRule>
  </conditionalFormatting>
  <conditionalFormatting sqref="AH16">
    <cfRule type="expression" dxfId="17" priority="13">
      <formula>AI16&lt;&gt;""</formula>
    </cfRule>
  </conditionalFormatting>
  <conditionalFormatting sqref="AH17">
    <cfRule type="expression" dxfId="16" priority="14">
      <formula>AI17&lt;&gt;""</formula>
    </cfRule>
  </conditionalFormatting>
  <conditionalFormatting sqref="AH18">
    <cfRule type="expression" dxfId="15" priority="15">
      <formula>AI18&lt;&gt;""</formula>
    </cfRule>
  </conditionalFormatting>
  <conditionalFormatting sqref="AH19">
    <cfRule type="expression" dxfId="14" priority="16">
      <formula>AI19&lt;&gt;""</formula>
    </cfRule>
  </conditionalFormatting>
  <conditionalFormatting sqref="AH20">
    <cfRule type="expression" dxfId="13" priority="17">
      <formula>AI20&lt;&gt;""</formula>
    </cfRule>
  </conditionalFormatting>
  <conditionalFormatting sqref="AH21">
    <cfRule type="expression" dxfId="12" priority="18">
      <formula>AI21&lt;&gt;""</formula>
    </cfRule>
  </conditionalFormatting>
  <conditionalFormatting sqref="AH29">
    <cfRule type="expression" dxfId="11" priority="7">
      <formula>AI29&lt;&gt;""</formula>
    </cfRule>
  </conditionalFormatting>
  <conditionalFormatting sqref="AH30">
    <cfRule type="expression" dxfId="10" priority="8">
      <formula>AI30&lt;&gt;""</formula>
    </cfRule>
  </conditionalFormatting>
  <conditionalFormatting sqref="AH31">
    <cfRule type="expression" dxfId="9" priority="9">
      <formula>AI31&lt;&gt;""</formula>
    </cfRule>
  </conditionalFormatting>
  <conditionalFormatting sqref="AH32">
    <cfRule type="expression" dxfId="8" priority="10">
      <formula>AI32&lt;&gt;""</formula>
    </cfRule>
  </conditionalFormatting>
  <conditionalFormatting sqref="AH33">
    <cfRule type="expression" dxfId="7" priority="11">
      <formula>AI33&lt;&gt;""</formula>
    </cfRule>
  </conditionalFormatting>
  <conditionalFormatting sqref="AH34">
    <cfRule type="expression" dxfId="6" priority="12">
      <formula>AI34&lt;&gt;""</formula>
    </cfRule>
  </conditionalFormatting>
  <conditionalFormatting sqref="AO29">
    <cfRule type="expression" dxfId="5" priority="1">
      <formula>AP29&lt;&gt;""</formula>
    </cfRule>
  </conditionalFormatting>
  <conditionalFormatting sqref="AO30">
    <cfRule type="expression" dxfId="4" priority="2">
      <formula>AP30&lt;&gt;""</formula>
    </cfRule>
  </conditionalFormatting>
  <conditionalFormatting sqref="AO31">
    <cfRule type="expression" dxfId="3" priority="3">
      <formula>AP31&lt;&gt;""</formula>
    </cfRule>
  </conditionalFormatting>
  <conditionalFormatting sqref="AO32">
    <cfRule type="expression" dxfId="2" priority="4">
      <formula>AP32&lt;&gt;""</formula>
    </cfRule>
  </conditionalFormatting>
  <conditionalFormatting sqref="AO33">
    <cfRule type="expression" dxfId="1" priority="5">
      <formula>AP33&lt;&gt;""</formula>
    </cfRule>
  </conditionalFormatting>
  <conditionalFormatting sqref="AO34">
    <cfRule type="expression" dxfId="0" priority="6">
      <formula>AP34&lt;&gt;""</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Check Box 2">
              <controlPr defaultSize="0" autoFill="0" autoLine="0" autoPict="0">
                <anchor moveWithCells="1">
                  <from>
                    <xdr:col>42</xdr:col>
                    <xdr:colOff>83820</xdr:colOff>
                    <xdr:row>12</xdr:row>
                    <xdr:rowOff>106680</xdr:rowOff>
                  </from>
                  <to>
                    <xdr:col>43</xdr:col>
                    <xdr:colOff>228600</xdr:colOff>
                    <xdr:row>13</xdr:row>
                    <xdr:rowOff>106680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42</xdr:col>
                    <xdr:colOff>83820</xdr:colOff>
                    <xdr:row>13</xdr:row>
                    <xdr:rowOff>68580</xdr:rowOff>
                  </from>
                  <to>
                    <xdr:col>43</xdr:col>
                    <xdr:colOff>228600</xdr:colOff>
                    <xdr:row>14</xdr:row>
                    <xdr:rowOff>60960</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42</xdr:col>
                    <xdr:colOff>83820</xdr:colOff>
                    <xdr:row>14</xdr:row>
                    <xdr:rowOff>22860</xdr:rowOff>
                  </from>
                  <to>
                    <xdr:col>43</xdr:col>
                    <xdr:colOff>228600</xdr:colOff>
                    <xdr:row>15</xdr:row>
                    <xdr:rowOff>22860</xdr:rowOff>
                  </to>
                </anchor>
              </controlPr>
            </control>
          </mc:Choice>
        </mc:AlternateContent>
        <mc:AlternateContent xmlns:mc="http://schemas.openxmlformats.org/markup-compatibility/2006">
          <mc:Choice Requires="x14">
            <control shapeId="2053" r:id="rId7" name="Check Box 5">
              <controlPr defaultSize="0" autoFill="0" autoLine="0" autoPict="0">
                <anchor moveWithCells="1">
                  <from>
                    <xdr:col>41</xdr:col>
                    <xdr:colOff>487680</xdr:colOff>
                    <xdr:row>12</xdr:row>
                    <xdr:rowOff>106680</xdr:rowOff>
                  </from>
                  <to>
                    <xdr:col>42</xdr:col>
                    <xdr:colOff>144780</xdr:colOff>
                    <xdr:row>13</xdr:row>
                    <xdr:rowOff>106680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D3603E73-040A-43F7-AE3B-13CB6B6FC638}">
            <x14:dataBar minLength="0" maxLength="100" gradient="0">
              <x14:cfvo type="num">
                <xm:f>0</xm:f>
              </x14:cfvo>
              <x14:cfvo type="num">
                <xm:f>1</xm:f>
              </x14:cfvo>
              <x14:negativeFillColor rgb="FFFF0000"/>
              <x14:axisColor rgb="FF000000"/>
            </x14:dataBar>
          </x14:cfRule>
          <xm:sqref>AB13:AB120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96A53E6-6637-4A99-B34D-8A08DF71773D}">
          <x14:formula1>
            <xm:f>'Dropdown Data'!$C$8:$C$18</xm:f>
          </x14:formula1>
          <xm:sqref>AQ6:AR6</xm:sqref>
        </x14:dataValidation>
        <x14:dataValidation type="list" allowBlank="1" showInputMessage="1" showErrorMessage="1" xr:uid="{4F788209-A4D1-4F33-AC1E-FD27D22E0979}">
          <x14:formula1>
            <xm:f>'Dropdown Data'!$E$8:$E$21</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1538-CC64-4503-B360-F46914869383}">
  <sheetPr>
    <tabColor theme="1"/>
  </sheetPr>
  <dimension ref="B1:R102"/>
  <sheetViews>
    <sheetView showGridLines="0" zoomScale="90" zoomScaleNormal="90" workbookViewId="0">
      <selection activeCell="E27" sqref="E27"/>
    </sheetView>
  </sheetViews>
  <sheetFormatPr defaultRowHeight="15" x14ac:dyDescent="0.2"/>
  <cols>
    <col min="1" max="1" width="5.51171875" customWidth="1"/>
    <col min="2" max="2" width="2.82421875" customWidth="1"/>
    <col min="3" max="3" width="2.15234375" customWidth="1"/>
    <col min="4" max="4" width="23.80859375" bestFit="1" customWidth="1"/>
    <col min="5" max="5" width="33.62890625" bestFit="1" customWidth="1"/>
    <col min="6" max="6" width="12.375" customWidth="1"/>
    <col min="7" max="7" width="9.28125" customWidth="1"/>
    <col min="8" max="8" width="23.80859375" customWidth="1"/>
    <col min="9" max="9" width="28.78515625" customWidth="1"/>
    <col min="10" max="10" width="8.7421875" customWidth="1"/>
    <col min="11" max="11" width="9.28125" customWidth="1"/>
    <col min="12" max="12" width="23.80859375" customWidth="1"/>
    <col min="13" max="13" width="23.5390625" customWidth="1"/>
    <col min="14" max="14" width="13.1796875" customWidth="1"/>
    <col min="15" max="15" width="11.8359375" customWidth="1"/>
    <col min="16" max="16" width="23.5390625" customWidth="1"/>
    <col min="17" max="17" width="13.1796875" customWidth="1"/>
    <col min="18" max="18" width="11.8359375" customWidth="1"/>
  </cols>
  <sheetData>
    <row r="1" spans="2:6" s="3" customFormat="1" ht="7.15" customHeight="1" x14ac:dyDescent="0.2"/>
    <row r="2" spans="2:6" s="3" customFormat="1" ht="27.6" customHeight="1" x14ac:dyDescent="0.35">
      <c r="B2" s="4" t="s">
        <v>3</v>
      </c>
    </row>
    <row r="3" spans="2:6" s="3" customFormat="1" ht="7.15" customHeight="1" x14ac:dyDescent="0.2"/>
    <row r="6" spans="2:6" x14ac:dyDescent="0.2">
      <c r="C6" s="95" t="s">
        <v>30</v>
      </c>
      <c r="D6" s="95"/>
      <c r="E6" s="95"/>
      <c r="F6" s="95"/>
    </row>
    <row r="8" spans="2:6" x14ac:dyDescent="0.2">
      <c r="D8" s="11" t="s">
        <v>31</v>
      </c>
      <c r="E8" s="40" cm="1">
        <f t="array" aca="1" ref="E8" ca="1">current_date</f>
        <v>45700</v>
      </c>
    </row>
    <row r="9" spans="2:6" x14ac:dyDescent="0.2">
      <c r="D9" s="11" t="s">
        <v>32</v>
      </c>
      <c r="E9" s="40">
        <f>MAX(Tracking[Date])</f>
        <v>0</v>
      </c>
    </row>
    <row r="10" spans="2:6" x14ac:dyDescent="0.2">
      <c r="D10" s="11" t="s">
        <v>33</v>
      </c>
      <c r="E10" t="str">
        <f ca="1">IF(E9=0, "", "(" &amp; _xlfn.DAYS(E8,E9) &amp; " days ago)")</f>
        <v/>
      </c>
    </row>
    <row r="11" spans="2:6" x14ac:dyDescent="0.2">
      <c r="D11" s="11" t="s">
        <v>34</v>
      </c>
      <c r="E11">
        <f>COUNT(Tracking[Date])</f>
        <v>0</v>
      </c>
    </row>
    <row r="12" spans="2:6" x14ac:dyDescent="0.2">
      <c r="D12" s="11" t="s">
        <v>35</v>
      </c>
      <c r="E12" t="str" cm="1">
        <f t="array" aca="1" ref="E12" ca="1">"(" &amp; SUMPRODUCT(--(YEAR(Tracking[Date])=YEAR(current_date))) &amp; " this year)"</f>
        <v>(0 this year)</v>
      </c>
    </row>
    <row r="13" spans="2:6" x14ac:dyDescent="0.2">
      <c r="D13" s="11" t="s">
        <v>36</v>
      </c>
      <c r="E13" s="41" t="str">
        <f>_xlfn.IFNA(INDEX(Tracking[Balance], MATCH(Calculations!E9, Tracking[Date],0)), "-")</f>
        <v>-</v>
      </c>
    </row>
    <row r="14" spans="2:6" x14ac:dyDescent="0.2">
      <c r="D14" s="11" t="s">
        <v>37</v>
      </c>
      <c r="E14" t="str">
        <f>IF(E13&gt;=0, "of tracked income left to be allocated", "allocated not covered by income")</f>
        <v>of tracked income left to be allocated</v>
      </c>
    </row>
    <row r="17" spans="3:14" x14ac:dyDescent="0.2">
      <c r="C17" s="95" t="s">
        <v>47</v>
      </c>
      <c r="D17" s="95"/>
      <c r="E17" s="95"/>
      <c r="F17" s="95"/>
    </row>
    <row r="19" spans="3:14" x14ac:dyDescent="0.2">
      <c r="D19" s="11" t="s">
        <v>48</v>
      </c>
      <c r="E19" cm="1">
        <f t="array" aca="1" ref="E19" ca="1">IF('Budget Dashboard'!$AQ$6="Current Year", YEAR(current_date), 'Budget Dashboard'!$AQ$6)</f>
        <v>2025</v>
      </c>
    </row>
    <row r="20" spans="3:14" x14ac:dyDescent="0.2">
      <c r="D20" s="48" t="s">
        <v>49</v>
      </c>
      <c r="E20" s="83" cm="1">
        <f t="array" aca="1" ref="E20" ca="1">IF('Budget Dashboard'!$AQ$9="Total Year", "Total Year",
       IF('Budget Dashboard'!$AQ$9="Current Month", MONTH(current_date),
       MONTH('Budget Dashboard'!$AQ$9)))</f>
        <v>2</v>
      </c>
    </row>
    <row r="21" spans="3:14" x14ac:dyDescent="0.2">
      <c r="D21" s="11" t="s">
        <v>50</v>
      </c>
      <c r="E21" s="49" t="str">
        <f ca="1">IF(selected_period="Total Year", "Total Year",
      TEXT(DATE(selected_year, selected_period,1), "mmmm"))</f>
        <v>February</v>
      </c>
    </row>
    <row r="22" spans="3:14" x14ac:dyDescent="0.2">
      <c r="D22" s="11" t="s">
        <v>92</v>
      </c>
      <c r="E22">
        <f ca="1">IF(selected_period="Total Year", DATE(selected_year, 12, 31) - DATE(selected_year-1, 12, 31), DAY(EOMONTH(DATE(selected_year, selected_period, 1), 0)))</f>
        <v>28</v>
      </c>
    </row>
    <row r="23" spans="3:14" x14ac:dyDescent="0.2">
      <c r="D23" s="11" t="s">
        <v>93</v>
      </c>
      <c r="E23" cm="1">
        <f t="array" aca="1" ref="E23" ca="1">IF(selected_year=YEAR(current_date),
      IF(selected_period="Total Year", current_date-DATE(selected_year-1, 12, 31),
          IF(selected_period=MONTH(current_date), DAY(current_date),
              IF(selected_period&lt;MONTH(current_date), E22, 0))),
      IF(selected_year&lt;YEAR(current_date), E22, 0))</f>
        <v>12</v>
      </c>
    </row>
    <row r="24" spans="3:14" x14ac:dyDescent="0.2">
      <c r="D24" s="11" t="s">
        <v>94</v>
      </c>
      <c r="E24" s="84">
        <f ca="1">E23/E22</f>
        <v>0.42857142857142855</v>
      </c>
    </row>
    <row r="25" spans="3:14" x14ac:dyDescent="0.2">
      <c r="D25" s="11" t="s">
        <v>95</v>
      </c>
      <c r="E25" s="53">
        <f ca="1">F41-(J41+N41)</f>
        <v>0</v>
      </c>
    </row>
    <row r="26" spans="3:14" x14ac:dyDescent="0.2">
      <c r="D26" s="11" t="s">
        <v>37</v>
      </c>
      <c r="E26" t="str">
        <f ca="1">IF(E25&gt;=0, "of tracked income left to be allocated", "allocated not covered by income")</f>
        <v>of tracked income left to be allocated</v>
      </c>
    </row>
    <row r="27" spans="3:14" x14ac:dyDescent="0.2">
      <c r="D27" s="11" t="s">
        <v>96</v>
      </c>
      <c r="E27" s="85" t="str">
        <f ca="1">IFERROR(IF(savings_rate_calculation_type="% allocated to Savings", N41/F41, (F41-J41)/F41), "-")</f>
        <v>-</v>
      </c>
    </row>
    <row r="32" spans="3:14" x14ac:dyDescent="0.2">
      <c r="D32" s="65" t="s">
        <v>73</v>
      </c>
      <c r="E32" s="64"/>
      <c r="F32" s="64"/>
      <c r="G32" s="64"/>
      <c r="H32" s="64"/>
      <c r="I32" s="64"/>
      <c r="J32" s="64"/>
      <c r="K32" s="64"/>
      <c r="L32" s="64"/>
      <c r="M32" s="64"/>
      <c r="N32" s="64"/>
    </row>
    <row r="34" spans="4:14" x14ac:dyDescent="0.2">
      <c r="D34" s="66" t="s">
        <v>10</v>
      </c>
      <c r="E34" s="66" t="s">
        <v>20</v>
      </c>
      <c r="F34" s="66" t="s">
        <v>21</v>
      </c>
      <c r="H34" s="66" t="s">
        <v>13</v>
      </c>
      <c r="I34" s="66" t="s">
        <v>20</v>
      </c>
      <c r="J34" s="66" t="s">
        <v>21</v>
      </c>
      <c r="L34" s="66" t="s">
        <v>15</v>
      </c>
      <c r="M34" s="66" t="s">
        <v>20</v>
      </c>
      <c r="N34" s="66" t="s">
        <v>21</v>
      </c>
    </row>
    <row r="35" spans="4:14" x14ac:dyDescent="0.2">
      <c r="D35" s="67">
        <v>1</v>
      </c>
      <c r="E35" s="67" t="str" cm="1">
        <f t="array" aca="1" ref="E35" ca="1">IF(F35="", "", INDEX('Budget Dashboard'!$J:$J, MATCH(income_header_row + Calculations!D35, 'Budget Dashboard'!$X:$X, 0)))</f>
        <v/>
      </c>
      <c r="F35" s="70" t="str" cm="1">
        <f t="array" aca="1" ref="F35" ca="1">IF(D35&gt;COUNTA(Income[]), "",
      IF(INDEX('Budget Dashboard'!$K:$K, MATCH(income_header_row + Calculations!D35, 'Budget Dashboard'!$X:$X, 0))=0, "",
          INDEX('Budget Dashboard'!$K:$K, MATCH(income_header_row + Calculations!D35, 'Budget Dashboard'!$X:$X, 0))))</f>
        <v/>
      </c>
      <c r="H35" s="67">
        <v>1</v>
      </c>
      <c r="I35" s="67" t="str" cm="1">
        <f t="array" aca="1" ref="I35" ca="1">IF(J35="", "", INDEX('Budget Dashboard'!$J:$J, MATCH(expenses_header_row + Calculations!H35, 'Budget Dashboard'!$X:$X, 0)))</f>
        <v/>
      </c>
      <c r="J35" s="70" t="str" cm="1">
        <f t="array" aca="1" ref="J35" ca="1">IF(H35&gt;COUNTA(Expenses[]), "",
      IF(INDEX('Budget Dashboard'!$K:$K, MATCH(expenses_header_row + Calculations!H35, 'Budget Dashboard'!$X:$X, 0))=0, "",
          INDEX('Budget Dashboard'!$K:$K, MATCH(expenses_header_row + Calculations!H35, 'Budget Dashboard'!$X:$X, 0))))</f>
        <v/>
      </c>
      <c r="L35" s="67">
        <v>1</v>
      </c>
      <c r="M35" s="67" t="str" cm="1">
        <f t="array" aca="1" ref="M35" ca="1">IF(N35="", "", INDEX('Budget Dashboard'!$J:$J, MATCH(savings_header_row + Calculations!L35, 'Budget Dashboard'!$X:$X, 0)))</f>
        <v/>
      </c>
      <c r="N35" s="70" t="str" cm="1">
        <f t="array" aca="1" ref="N35" ca="1">IF(L35&gt;COUNTA(Savings[]), "",
      IF(INDEX('Budget Dashboard'!$K:$K, MATCH(savings_header_row + Calculations!L35, 'Budget Dashboard'!$X:$X, 0))=0, "",
          INDEX('Budget Dashboard'!$K:$K, MATCH(savings_header_row + Calculations!L35, 'Budget Dashboard'!$X:$X, 0))))</f>
        <v/>
      </c>
    </row>
    <row r="36" spans="4:14" x14ac:dyDescent="0.2">
      <c r="D36" s="67">
        <v>2</v>
      </c>
      <c r="E36" s="67" t="str" cm="1">
        <f t="array" aca="1" ref="E36" ca="1">IF(F36="", "", INDEX('Budget Dashboard'!$J:$J, MATCH(income_header_row + Calculations!D36, 'Budget Dashboard'!$X:$X, 0)))</f>
        <v/>
      </c>
      <c r="F36" s="70" t="str" cm="1">
        <f t="array" aca="1" ref="F36" ca="1">IF(D36&gt;COUNTA(Income[]), "",
      IF(INDEX('Budget Dashboard'!$K:$K, MATCH(income_header_row + Calculations!D36, 'Budget Dashboard'!$X:$X, 0))=0, "",
          INDEX('Budget Dashboard'!$K:$K, MATCH(income_header_row + Calculations!D36, 'Budget Dashboard'!$X:$X, 0))))</f>
        <v/>
      </c>
      <c r="H36" s="67">
        <v>2</v>
      </c>
      <c r="I36" s="67" t="str" cm="1">
        <f t="array" aca="1" ref="I36" ca="1">IF(J36="", "", INDEX('Budget Dashboard'!$J:$J, MATCH(expenses_header_row + Calculations!H36, 'Budget Dashboard'!$X:$X, 0)))</f>
        <v/>
      </c>
      <c r="J36" s="70" t="str" cm="1">
        <f t="array" aca="1" ref="J36" ca="1">IF(H36&gt;COUNTA(Expenses[]), "",
      IF(INDEX('Budget Dashboard'!$K:$K, MATCH(expenses_header_row + Calculations!H36, 'Budget Dashboard'!$X:$X, 0))=0, "",
          INDEX('Budget Dashboard'!$K:$K, MATCH(expenses_header_row + Calculations!H36, 'Budget Dashboard'!$X:$X, 0))))</f>
        <v/>
      </c>
      <c r="L36" s="67">
        <v>2</v>
      </c>
      <c r="M36" s="67" t="str" cm="1">
        <f t="array" aca="1" ref="M36" ca="1">IF(N36="", "", INDEX('Budget Dashboard'!$J:$J, MATCH(savings_header_row + Calculations!L36, 'Budget Dashboard'!$X:$X, 0)))</f>
        <v/>
      </c>
      <c r="N36" s="70" t="str" cm="1">
        <f t="array" aca="1" ref="N36" ca="1">IF(L36&gt;COUNTA(Savings[]), "",
      IF(INDEX('Budget Dashboard'!$K:$K, MATCH(savings_header_row + Calculations!L36, 'Budget Dashboard'!$X:$X, 0))=0, "",
          INDEX('Budget Dashboard'!$K:$K, MATCH(savings_header_row + Calculations!L36, 'Budget Dashboard'!$X:$X, 0))))</f>
        <v/>
      </c>
    </row>
    <row r="37" spans="4:14" x14ac:dyDescent="0.2">
      <c r="D37" s="67">
        <v>3</v>
      </c>
      <c r="E37" s="67" t="str" cm="1">
        <f t="array" aca="1" ref="E37" ca="1">IF(F37="", "", INDEX('Budget Dashboard'!$J:$J, MATCH(income_header_row + Calculations!D37, 'Budget Dashboard'!$X:$X, 0)))</f>
        <v/>
      </c>
      <c r="F37" s="70" t="str" cm="1">
        <f t="array" aca="1" ref="F37" ca="1">IF(D37&gt;COUNTA(Income[]), "",
      IF(INDEX('Budget Dashboard'!$K:$K, MATCH(income_header_row + Calculations!D37, 'Budget Dashboard'!$X:$X, 0))=0, "",
          INDEX('Budget Dashboard'!$K:$K, MATCH(income_header_row + Calculations!D37, 'Budget Dashboard'!$X:$X, 0))))</f>
        <v/>
      </c>
      <c r="H37" s="67">
        <v>3</v>
      </c>
      <c r="I37" s="67" t="str" cm="1">
        <f t="array" aca="1" ref="I37" ca="1">IF(J37="", "", INDEX('Budget Dashboard'!$J:$J, MATCH(expenses_header_row + Calculations!H37, 'Budget Dashboard'!$X:$X, 0)))</f>
        <v/>
      </c>
      <c r="J37" s="70" t="str" cm="1">
        <f t="array" aca="1" ref="J37" ca="1">IF(H37&gt;COUNTA(Expenses[]), "",
      IF(INDEX('Budget Dashboard'!$K:$K, MATCH(expenses_header_row + Calculations!H37, 'Budget Dashboard'!$X:$X, 0))=0, "",
          INDEX('Budget Dashboard'!$K:$K, MATCH(expenses_header_row + Calculations!H37, 'Budget Dashboard'!$X:$X, 0))))</f>
        <v/>
      </c>
      <c r="L37" s="67">
        <v>3</v>
      </c>
      <c r="M37" s="67" t="str" cm="1">
        <f t="array" aca="1" ref="M37" ca="1">IF(N37="", "", INDEX('Budget Dashboard'!$J:$J, MATCH(savings_header_row + Calculations!L37, 'Budget Dashboard'!$X:$X, 0)))</f>
        <v/>
      </c>
      <c r="N37" s="70" t="str" cm="1">
        <f t="array" aca="1" ref="N37" ca="1">IF(L37&gt;COUNTA(Savings[]), "",
      IF(INDEX('Budget Dashboard'!$K:$K, MATCH(savings_header_row + Calculations!L37, 'Budget Dashboard'!$X:$X, 0))=0, "",
          INDEX('Budget Dashboard'!$K:$K, MATCH(savings_header_row + Calculations!L37, 'Budget Dashboard'!$X:$X, 0))))</f>
        <v/>
      </c>
    </row>
    <row r="38" spans="4:14" x14ac:dyDescent="0.2">
      <c r="D38" s="67">
        <v>4</v>
      </c>
      <c r="E38" s="67" t="str" cm="1">
        <f t="array" aca="1" ref="E38" ca="1">IF(F38="", "", INDEX('Budget Dashboard'!$J:$J, MATCH(income_header_row + Calculations!D38, 'Budget Dashboard'!$X:$X, 0)))</f>
        <v/>
      </c>
      <c r="F38" s="70" t="str" cm="1">
        <f t="array" aca="1" ref="F38" ca="1">IF(D38&gt;COUNTA(Income[]), "",
      IF(INDEX('Budget Dashboard'!$K:$K, MATCH(income_header_row + Calculations!D38, 'Budget Dashboard'!$X:$X, 0))=0, "",
          INDEX('Budget Dashboard'!$K:$K, MATCH(income_header_row + Calculations!D38, 'Budget Dashboard'!$X:$X, 0))))</f>
        <v/>
      </c>
      <c r="H38" s="67">
        <v>4</v>
      </c>
      <c r="I38" s="67" t="str" cm="1">
        <f t="array" aca="1" ref="I38" ca="1">IF(J38="", "", INDEX('Budget Dashboard'!$J:$J, MATCH(expenses_header_row + Calculations!H38, 'Budget Dashboard'!$X:$X, 0)))</f>
        <v/>
      </c>
      <c r="J38" s="70" t="str" cm="1">
        <f t="array" aca="1" ref="J38" ca="1">IF(H38&gt;COUNTA(Expenses[]), "",
      IF(INDEX('Budget Dashboard'!$K:$K, MATCH(expenses_header_row + Calculations!H38, 'Budget Dashboard'!$X:$X, 0))=0, "",
          INDEX('Budget Dashboard'!$K:$K, MATCH(expenses_header_row + Calculations!H38, 'Budget Dashboard'!$X:$X, 0))))</f>
        <v/>
      </c>
      <c r="L38" s="67">
        <v>4</v>
      </c>
      <c r="M38" s="67" t="str" cm="1">
        <f t="array" aca="1" ref="M38" ca="1">IF(N38="", "", INDEX('Budget Dashboard'!$J:$J, MATCH(savings_header_row + Calculations!L38, 'Budget Dashboard'!$X:$X, 0)))</f>
        <v/>
      </c>
      <c r="N38" s="70" t="str" cm="1">
        <f t="array" aca="1" ref="N38" ca="1">IF(L38&gt;COUNTA(Savings[]), "",
      IF(INDEX('Budget Dashboard'!$K:$K, MATCH(savings_header_row + Calculations!L38, 'Budget Dashboard'!$X:$X, 0))=0, "",
          INDEX('Budget Dashboard'!$K:$K, MATCH(savings_header_row + Calculations!L38, 'Budget Dashboard'!$X:$X, 0))))</f>
        <v/>
      </c>
    </row>
    <row r="39" spans="4:14" x14ac:dyDescent="0.2">
      <c r="D39" s="67">
        <v>5</v>
      </c>
      <c r="E39" s="67" t="str" cm="1">
        <f t="array" aca="1" ref="E39" ca="1">IF(F39="", "", INDEX('Budget Dashboard'!$J:$J, MATCH(income_header_row + Calculations!D39, 'Budget Dashboard'!$X:$X, 0)))</f>
        <v/>
      </c>
      <c r="F39" s="70" t="str" cm="1">
        <f t="array" aca="1" ref="F39" ca="1">IF(D39&gt;COUNTA(Income[]), "",
      IF(INDEX('Budget Dashboard'!$K:$K, MATCH(income_header_row + Calculations!D39, 'Budget Dashboard'!$X:$X, 0))=0, "",
          INDEX('Budget Dashboard'!$K:$K, MATCH(income_header_row + Calculations!D39, 'Budget Dashboard'!$X:$X, 0))))</f>
        <v/>
      </c>
      <c r="H39" s="67">
        <v>5</v>
      </c>
      <c r="I39" s="67" t="str" cm="1">
        <f t="array" aca="1" ref="I39" ca="1">IF(J39="", "", INDEX('Budget Dashboard'!$J:$J, MATCH(expenses_header_row + Calculations!H39, 'Budget Dashboard'!$X:$X, 0)))</f>
        <v/>
      </c>
      <c r="J39" s="70" t="str" cm="1">
        <f t="array" aca="1" ref="J39" ca="1">IF(H39&gt;COUNTA(Expenses[]), "",
      IF(INDEX('Budget Dashboard'!$K:$K, MATCH(expenses_header_row + Calculations!H39, 'Budget Dashboard'!$X:$X, 0))=0, "",
          INDEX('Budget Dashboard'!$K:$K, MATCH(expenses_header_row + Calculations!H39, 'Budget Dashboard'!$X:$X, 0))))</f>
        <v/>
      </c>
      <c r="L39" s="67">
        <v>5</v>
      </c>
      <c r="M39" s="67" t="str" cm="1">
        <f t="array" aca="1" ref="M39" ca="1">IF(N39="", "", INDEX('Budget Dashboard'!$J:$J, MATCH(savings_header_row + Calculations!L39, 'Budget Dashboard'!$X:$X, 0)))</f>
        <v/>
      </c>
      <c r="N39" s="70" t="str" cm="1">
        <f t="array" aca="1" ref="N39" ca="1">IF(L39&gt;COUNTA(Savings[]), "",
      IF(INDEX('Budget Dashboard'!$K:$K, MATCH(savings_header_row + Calculations!L39, 'Budget Dashboard'!$X:$X, 0))=0, "",
          INDEX('Budget Dashboard'!$K:$K, MATCH(savings_header_row + Calculations!L39, 'Budget Dashboard'!$X:$X, 0))))</f>
        <v/>
      </c>
    </row>
    <row r="40" spans="4:14" ht="15.75" thickBot="1" x14ac:dyDescent="0.25">
      <c r="D40" s="68">
        <v>6</v>
      </c>
      <c r="E40" s="68" t="str">
        <f ca="1">IF(F40="", "", "Other")</f>
        <v/>
      </c>
      <c r="F40" s="71" t="str">
        <f ca="1">IF(F41-SUM(F35:F39)=0, "", F41-SUM(F35:F39))</f>
        <v/>
      </c>
      <c r="H40" s="68">
        <v>6</v>
      </c>
      <c r="I40" s="68" t="str">
        <f ca="1">IF(J40="", "", "Other")</f>
        <v/>
      </c>
      <c r="J40" s="71" t="str">
        <f ca="1">IF(J41-SUM(J35:J39)=0, "", J41-SUM(J35:J39))</f>
        <v/>
      </c>
      <c r="L40" s="68">
        <v>6</v>
      </c>
      <c r="M40" s="68" t="str">
        <f ca="1">IF(N40="", "", "Other")</f>
        <v/>
      </c>
      <c r="N40" s="71" t="str">
        <f ca="1">IF(N41-SUM(N35:N39)=0, "", N41-SUM(N35:N39))</f>
        <v/>
      </c>
    </row>
    <row r="41" spans="4:14" ht="15.75" thickTop="1" x14ac:dyDescent="0.2">
      <c r="D41" s="67"/>
      <c r="E41" s="69" t="s">
        <v>12</v>
      </c>
      <c r="F41" s="72" cm="1">
        <f t="array" aca="1" ref="F41" ca="1">INDEX('Budget Dashboard'!$K:$K, MATCH(income_total_row, 'Budget Dashboard'!$X:$X, 0))</f>
        <v>0</v>
      </c>
      <c r="H41" s="67"/>
      <c r="I41" s="69" t="s">
        <v>12</v>
      </c>
      <c r="J41" s="72" cm="1">
        <f t="array" aca="1" ref="J41" ca="1">INDEX('Budget Dashboard'!$K:$K, MATCH(expenses_total_row, 'Budget Dashboard'!$X:$X, 0))</f>
        <v>0</v>
      </c>
      <c r="L41" s="67"/>
      <c r="M41" s="69" t="s">
        <v>12</v>
      </c>
      <c r="N41" s="72" cm="1">
        <f t="array" aca="1" ref="N41" ca="1">INDEX('Budget Dashboard'!$K:$K, MATCH(savings_total_row, 'Budget Dashboard'!$X:$X, 0))</f>
        <v>0</v>
      </c>
    </row>
    <row r="47" spans="4:14" x14ac:dyDescent="0.2">
      <c r="D47" s="65" t="s">
        <v>74</v>
      </c>
      <c r="E47" s="64"/>
      <c r="F47" s="64"/>
      <c r="G47" s="64"/>
      <c r="H47" s="64"/>
      <c r="I47" s="64"/>
      <c r="J47" s="64"/>
      <c r="K47" s="64"/>
      <c r="L47" s="64"/>
      <c r="M47" s="64"/>
      <c r="N47" s="64"/>
    </row>
    <row r="49" spans="4:18" x14ac:dyDescent="0.2">
      <c r="D49" s="80" t="s">
        <v>88</v>
      </c>
      <c r="E49" s="81" t="b">
        <v>1</v>
      </c>
    </row>
    <row r="50" spans="4:18" x14ac:dyDescent="0.2">
      <c r="D50" s="80" t="s">
        <v>89</v>
      </c>
      <c r="E50" s="81" t="b">
        <v>1</v>
      </c>
    </row>
    <row r="51" spans="4:18" x14ac:dyDescent="0.2">
      <c r="D51" s="80" t="s">
        <v>90</v>
      </c>
      <c r="E51" s="81" t="b">
        <v>1</v>
      </c>
    </row>
    <row r="52" spans="4:18" x14ac:dyDescent="0.2">
      <c r="D52" s="80" t="s">
        <v>91</v>
      </c>
      <c r="E52" s="81" t="b">
        <v>1</v>
      </c>
    </row>
    <row r="53" spans="4:18" x14ac:dyDescent="0.2">
      <c r="M53" s="89" t="s">
        <v>83</v>
      </c>
      <c r="N53" s="89"/>
      <c r="O53" s="89"/>
      <c r="P53" s="96" t="s">
        <v>87</v>
      </c>
      <c r="Q53" s="96"/>
      <c r="R53" s="96"/>
    </row>
    <row r="54" spans="4:18" s="69" customFormat="1" x14ac:dyDescent="0.2">
      <c r="D54" s="66" t="s">
        <v>75</v>
      </c>
      <c r="E54" s="66" t="s">
        <v>19</v>
      </c>
      <c r="F54" s="66" t="s">
        <v>76</v>
      </c>
      <c r="G54" s="66" t="s">
        <v>77</v>
      </c>
      <c r="H54" s="66" t="s">
        <v>78</v>
      </c>
      <c r="I54" s="66" t="s">
        <v>79</v>
      </c>
      <c r="J54" s="66" t="s">
        <v>80</v>
      </c>
      <c r="K54" s="66" t="s">
        <v>81</v>
      </c>
      <c r="L54" s="66" t="s">
        <v>82</v>
      </c>
      <c r="M54" s="66" t="s">
        <v>84</v>
      </c>
      <c r="N54" s="66" t="s">
        <v>85</v>
      </c>
      <c r="O54" s="66" t="s">
        <v>86</v>
      </c>
      <c r="P54" s="66" t="s">
        <v>84</v>
      </c>
      <c r="Q54" s="66" t="s">
        <v>85</v>
      </c>
      <c r="R54" s="66" t="s">
        <v>86</v>
      </c>
    </row>
    <row r="55" spans="4:18" x14ac:dyDescent="0.2">
      <c r="D55" s="97">
        <f ca="1">DATE(selected_year, 1, 1)</f>
        <v>45658</v>
      </c>
      <c r="E55" s="67" t="s">
        <v>10</v>
      </c>
      <c r="F55" s="67">
        <f ca="1">MONTH(D55)</f>
        <v>1</v>
      </c>
      <c r="G55" s="67">
        <f ca="1">IF(selected_period="Total Year", 1, IF(selected_period=cc_month_number, 1, 0))</f>
        <v>0</v>
      </c>
      <c r="H55" s="67">
        <f>1*$E$49</f>
        <v>1</v>
      </c>
      <c r="I55" s="67">
        <f>1*$E$52</f>
        <v>1</v>
      </c>
      <c r="J55" s="79" cm="1">
        <f t="array" aca="1" ref="J55" ca="1">SUM( Tracking[Amount] * (Tracking[Type]=cc_type) * (YEAR(Tracking[Effective Date])=selected_year) * (MONTH(Tracking[Effective Date])=cc_month_number) )</f>
        <v>0</v>
      </c>
      <c r="K55" s="79" cm="1">
        <f t="array" aca="1" ref="K55" ca="1">INDEX('Budget Planning'!$E:$EM, income_total_row, MATCH(DATE(selected_year, cc_month_number, 1), 'Budget Planning'!$E$9:$EM$9, 0)  )</f>
        <v>0</v>
      </c>
      <c r="L55" s="79">
        <f ca="1">cc_budget-cc_tracked</f>
        <v>0</v>
      </c>
      <c r="M55" s="41">
        <f ca="1">cc_in_focus * cc_show_type * MIN(cc_tracked, cc_budget)</f>
        <v>0</v>
      </c>
      <c r="N55" s="41">
        <f ca="1">cc_in_focus * cc_show_type * cc_show_remaining_budget * IF(cc_delta&gt;0, cc_delta, 0)</f>
        <v>0</v>
      </c>
      <c r="O55" s="79">
        <f ca="1">cc_in_focus * cc_show_type * IF(cc_delta&lt;0, ABS(cc_delta), 0)</f>
        <v>0</v>
      </c>
      <c r="P55" s="41">
        <f ca="1">NOT(cc_in_focus) * cc_show_type * MIN(cc_tracked, cc_budget)</f>
        <v>0</v>
      </c>
      <c r="Q55" s="41">
        <f ca="1">NOT(cc_in_focus) * cc_show_type * cc_show_remaining_budget * IF(cc_delta&gt;0, cc_delta, 0)</f>
        <v>0</v>
      </c>
      <c r="R55" s="79">
        <f ca="1">NOT(cc_in_focus) * cc_show_type * IF(cc_delta&lt;0, ABS(cc_delta), 0)</f>
        <v>0</v>
      </c>
    </row>
    <row r="56" spans="4:18" x14ac:dyDescent="0.2">
      <c r="D56" s="97"/>
      <c r="E56" s="67" t="s">
        <v>13</v>
      </c>
      <c r="F56" s="67">
        <f ca="1">MONTH(D55)</f>
        <v>1</v>
      </c>
      <c r="G56" s="67">
        <f ca="1">IF(selected_period="Total Year", 1, IF(selected_period=cc_month_number, 1, 0))</f>
        <v>0</v>
      </c>
      <c r="H56" s="67">
        <f>1*$E$50</f>
        <v>1</v>
      </c>
      <c r="I56" s="67">
        <f t="shared" ref="I56:I57" si="0">1*$E$52</f>
        <v>1</v>
      </c>
      <c r="J56" s="79" cm="1">
        <f t="array" aca="1" ref="J56" ca="1">SUM( Tracking[Amount] * (Tracking[Type]=cc_type) * (YEAR(Tracking[Effective Date])=selected_year) * (MONTH(Tracking[Effective Date])=cc_month_number) )</f>
        <v>0</v>
      </c>
      <c r="K56" s="79" cm="1">
        <f t="array" aca="1" ref="K56" ca="1">INDEX('Budget Planning'!$E:$EM, expenses_total_row, MATCH(DATE(selected_year, cc_month_number, 1), 'Budget Planning'!$E$9:$EM$9, 0)  )</f>
        <v>0</v>
      </c>
      <c r="L56" s="79">
        <f ca="1">cc_budget-cc_tracked</f>
        <v>0</v>
      </c>
      <c r="M56" s="41">
        <f ca="1">cc_in_focus * cc_show_type * MIN(cc_tracked, cc_budget)</f>
        <v>0</v>
      </c>
      <c r="N56" s="41">
        <f ca="1">cc_in_focus * cc_show_type * cc_show_remaining_budget * IF(cc_delta&gt;0, cc_delta, 0)</f>
        <v>0</v>
      </c>
      <c r="O56" s="79">
        <f ca="1">cc_in_focus * cc_show_type * IF(cc_delta&lt;0, ABS(cc_delta), 0)</f>
        <v>0</v>
      </c>
      <c r="P56" s="41">
        <f ca="1">NOT(cc_in_focus) * cc_show_type * MIN(cc_tracked, cc_budget)</f>
        <v>0</v>
      </c>
      <c r="Q56" s="41">
        <f ca="1">NOT(cc_in_focus) * cc_show_type * cc_show_remaining_budget * IF(cc_delta&gt;0, cc_delta, 0)</f>
        <v>0</v>
      </c>
      <c r="R56" s="79">
        <f ca="1">NOT(cc_in_focus) * cc_show_type * IF(cc_delta&lt;0, ABS(cc_delta), 0)</f>
        <v>0</v>
      </c>
    </row>
    <row r="57" spans="4:18" x14ac:dyDescent="0.2">
      <c r="D57" s="97"/>
      <c r="E57" s="67" t="s">
        <v>15</v>
      </c>
      <c r="F57" s="67">
        <f ca="1">MONTH(D55)</f>
        <v>1</v>
      </c>
      <c r="G57" s="67">
        <f ca="1">IF(selected_period="Total Year", 1, IF(selected_period=cc_month_number, 1, 0))</f>
        <v>0</v>
      </c>
      <c r="H57" s="67">
        <f>1*$E$51</f>
        <v>1</v>
      </c>
      <c r="I57" s="67">
        <f t="shared" si="0"/>
        <v>1</v>
      </c>
      <c r="J57" s="79" cm="1">
        <f t="array" aca="1" ref="J57" ca="1">SUM( Tracking[Amount] * (Tracking[Type]=cc_type) * (YEAR(Tracking[Effective Date])=selected_year) * (MONTH(Tracking[Effective Date])=cc_month_number) )</f>
        <v>0</v>
      </c>
      <c r="K57" s="79" cm="1">
        <f t="array" aca="1" ref="K57" ca="1">INDEX('Budget Planning'!$E:$EM, savings_total_row, MATCH(DATE(selected_year, cc_month_number, 1), 'Budget Planning'!$E$9:$EM$9, 0)  )</f>
        <v>0</v>
      </c>
      <c r="L57" s="79">
        <f ca="1">cc_budget-cc_tracked</f>
        <v>0</v>
      </c>
      <c r="M57" s="41">
        <f ca="1">cc_in_focus * cc_show_type * MIN(cc_tracked, cc_budget)</f>
        <v>0</v>
      </c>
      <c r="N57" s="41">
        <f ca="1">cc_in_focus * cc_show_type * cc_show_remaining_budget * IF(cc_delta&gt;0, cc_delta, 0)</f>
        <v>0</v>
      </c>
      <c r="O57" s="79">
        <f ca="1">cc_in_focus * cc_show_type * IF(cc_delta&lt;0, ABS(cc_delta), 0)</f>
        <v>0</v>
      </c>
      <c r="P57" s="41">
        <f ca="1">NOT(cc_in_focus) * cc_show_type * MIN(cc_tracked, cc_budget)</f>
        <v>0</v>
      </c>
      <c r="Q57" s="41">
        <f ca="1">NOT(cc_in_focus) * cc_show_type * cc_show_remaining_budget * IF(cc_delta&gt;0, cc_delta, 0)</f>
        <v>0</v>
      </c>
      <c r="R57" s="79">
        <f ca="1">NOT(cc_in_focus) * cc_show_type * IF(cc_delta&lt;0, ABS(cc_delta), 0)</f>
        <v>0</v>
      </c>
    </row>
    <row r="58" spans="4:18" x14ac:dyDescent="0.2">
      <c r="D58" s="98"/>
      <c r="E58" s="78"/>
      <c r="F58" s="78"/>
      <c r="G58" s="78"/>
      <c r="H58" s="78"/>
      <c r="I58" s="78"/>
      <c r="J58" s="82"/>
      <c r="K58" s="82"/>
      <c r="L58" s="82"/>
      <c r="M58" s="82"/>
      <c r="N58" s="82"/>
      <c r="O58" s="82"/>
      <c r="P58" s="82"/>
      <c r="Q58" s="82"/>
      <c r="R58" s="82"/>
    </row>
    <row r="59" spans="4:18" x14ac:dyDescent="0.2">
      <c r="D59" s="99">
        <f ca="1">DATE(selected_year, 2, 1)</f>
        <v>45689</v>
      </c>
      <c r="E59" s="77" t="s">
        <v>10</v>
      </c>
      <c r="F59" s="67">
        <f t="shared" ref="F59" ca="1" si="1">MONTH(D59)</f>
        <v>2</v>
      </c>
      <c r="G59" s="67">
        <f ca="1">IF(selected_period="Total Year", 1, IF(selected_period=cc_month_number, 1, 0))</f>
        <v>1</v>
      </c>
      <c r="H59" s="67">
        <f t="shared" ref="H59" si="2">1*$E$49</f>
        <v>1</v>
      </c>
      <c r="I59" s="67">
        <f t="shared" ref="I59:I101" si="3">1*$E$52</f>
        <v>1</v>
      </c>
      <c r="J59" s="79" cm="1">
        <f t="array" aca="1" ref="J59" ca="1">SUM( Tracking[Amount] * (Tracking[Type]=cc_type) * (YEAR(Tracking[Effective Date])=selected_year) * (MONTH(Tracking[Effective Date])=cc_month_number) )</f>
        <v>0</v>
      </c>
      <c r="K59" s="79" cm="1">
        <f t="array" aca="1" ref="K59" ca="1">INDEX('Budget Planning'!$E:$EM, income_total_row, MATCH(DATE(selected_year, cc_month_number, 1), 'Budget Planning'!$E$9:$EM$9, 0)  )</f>
        <v>0</v>
      </c>
      <c r="L59" s="79">
        <f ca="1">cc_budget-cc_tracked</f>
        <v>0</v>
      </c>
      <c r="M59" s="41">
        <f ca="1">cc_in_focus * cc_show_type * MIN(cc_tracked, cc_budget)</f>
        <v>0</v>
      </c>
      <c r="N59" s="41">
        <f ca="1">cc_in_focus * cc_show_type * cc_show_remaining_budget * IF(cc_delta&gt;0, cc_delta, 0)</f>
        <v>0</v>
      </c>
      <c r="O59" s="79">
        <f ca="1">cc_in_focus * cc_show_type * IF(cc_delta&lt;0, ABS(cc_delta), 0)</f>
        <v>0</v>
      </c>
      <c r="P59" s="41">
        <f ca="1">NOT(cc_in_focus) * cc_show_type * MIN(cc_tracked, cc_budget)</f>
        <v>0</v>
      </c>
      <c r="Q59" s="41">
        <f ca="1">NOT(cc_in_focus) * cc_show_type * cc_show_remaining_budget * IF(cc_delta&gt;0, cc_delta, 0)</f>
        <v>0</v>
      </c>
      <c r="R59" s="79">
        <f ca="1">NOT(cc_in_focus) * cc_show_type * IF(cc_delta&lt;0, ABS(cc_delta), 0)</f>
        <v>0</v>
      </c>
    </row>
    <row r="60" spans="4:18" x14ac:dyDescent="0.2">
      <c r="D60" s="97"/>
      <c r="E60" s="67" t="s">
        <v>13</v>
      </c>
      <c r="F60" s="67">
        <f t="shared" ref="F60" ca="1" si="4">MONTH(D59)</f>
        <v>2</v>
      </c>
      <c r="G60" s="67">
        <f ca="1">IF(selected_period="Total Year", 1, IF(selected_period=cc_month_number, 1, 0))</f>
        <v>1</v>
      </c>
      <c r="H60" s="67">
        <f t="shared" ref="H60" si="5">1*$E$50</f>
        <v>1</v>
      </c>
      <c r="I60" s="67">
        <f t="shared" si="3"/>
        <v>1</v>
      </c>
      <c r="J60" s="79" cm="1">
        <f t="array" aca="1" ref="J60" ca="1">SUM( Tracking[Amount] * (Tracking[Type]=cc_type) * (YEAR(Tracking[Effective Date])=selected_year) * (MONTH(Tracking[Effective Date])=cc_month_number) )</f>
        <v>0</v>
      </c>
      <c r="K60" s="79" cm="1">
        <f t="array" aca="1" ref="K60" ca="1">INDEX('Budget Planning'!$E:$EM, expenses_total_row, MATCH(DATE(selected_year, cc_month_number, 1), 'Budget Planning'!$E$9:$EM$9, 0)  )</f>
        <v>0</v>
      </c>
      <c r="L60" s="79">
        <f ca="1">cc_budget-cc_tracked</f>
        <v>0</v>
      </c>
      <c r="M60" s="41">
        <f ca="1">cc_in_focus * cc_show_type * MIN(cc_tracked, cc_budget)</f>
        <v>0</v>
      </c>
      <c r="N60" s="41">
        <f ca="1">cc_in_focus * cc_show_type * cc_show_remaining_budget * IF(cc_delta&gt;0, cc_delta, 0)</f>
        <v>0</v>
      </c>
      <c r="O60" s="79">
        <f ca="1">cc_in_focus * cc_show_type * IF(cc_delta&lt;0, ABS(cc_delta), 0)</f>
        <v>0</v>
      </c>
      <c r="P60" s="41">
        <f ca="1">NOT(cc_in_focus) * cc_show_type * MIN(cc_tracked, cc_budget)</f>
        <v>0</v>
      </c>
      <c r="Q60" s="41">
        <f ca="1">NOT(cc_in_focus) * cc_show_type * cc_show_remaining_budget * IF(cc_delta&gt;0, cc_delta, 0)</f>
        <v>0</v>
      </c>
      <c r="R60" s="79">
        <f ca="1">NOT(cc_in_focus) * cc_show_type * IF(cc_delta&lt;0, ABS(cc_delta), 0)</f>
        <v>0</v>
      </c>
    </row>
    <row r="61" spans="4:18" x14ac:dyDescent="0.2">
      <c r="D61" s="97"/>
      <c r="E61" s="67" t="s">
        <v>15</v>
      </c>
      <c r="F61" s="67">
        <f t="shared" ref="F61" ca="1" si="6">MONTH(D59)</f>
        <v>2</v>
      </c>
      <c r="G61" s="67">
        <f ca="1">IF(selected_period="Total Year", 1, IF(selected_period=cc_month_number, 1, 0))</f>
        <v>1</v>
      </c>
      <c r="H61" s="67">
        <f t="shared" ref="H61" si="7">1*$E$51</f>
        <v>1</v>
      </c>
      <c r="I61" s="67">
        <f t="shared" si="3"/>
        <v>1</v>
      </c>
      <c r="J61" s="79" cm="1">
        <f t="array" aca="1" ref="J61" ca="1">SUM( Tracking[Amount] * (Tracking[Type]=cc_type) * (YEAR(Tracking[Effective Date])=selected_year) * (MONTH(Tracking[Effective Date])=cc_month_number) )</f>
        <v>0</v>
      </c>
      <c r="K61" s="79" cm="1">
        <f t="array" aca="1" ref="K61" ca="1">INDEX('Budget Planning'!$E:$EM, savings_total_row, MATCH(DATE(selected_year, cc_month_number, 1), 'Budget Planning'!$E$9:$EM$9, 0)  )</f>
        <v>0</v>
      </c>
      <c r="L61" s="79">
        <f ca="1">cc_budget-cc_tracked</f>
        <v>0</v>
      </c>
      <c r="M61" s="41">
        <f ca="1">cc_in_focus * cc_show_type * MIN(cc_tracked, cc_budget)</f>
        <v>0</v>
      </c>
      <c r="N61" s="41">
        <f ca="1">cc_in_focus * cc_show_type * cc_show_remaining_budget * IF(cc_delta&gt;0, cc_delta, 0)</f>
        <v>0</v>
      </c>
      <c r="O61" s="79">
        <f ca="1">cc_in_focus * cc_show_type * IF(cc_delta&lt;0, ABS(cc_delta), 0)</f>
        <v>0</v>
      </c>
      <c r="P61" s="41">
        <f ca="1">NOT(cc_in_focus) * cc_show_type * MIN(cc_tracked, cc_budget)</f>
        <v>0</v>
      </c>
      <c r="Q61" s="41">
        <f ca="1">NOT(cc_in_focus) * cc_show_type * cc_show_remaining_budget * IF(cc_delta&gt;0, cc_delta, 0)</f>
        <v>0</v>
      </c>
      <c r="R61" s="79">
        <f ca="1">NOT(cc_in_focus) * cc_show_type * IF(cc_delta&lt;0, ABS(cc_delta), 0)</f>
        <v>0</v>
      </c>
    </row>
    <row r="62" spans="4:18" x14ac:dyDescent="0.2">
      <c r="D62" s="98"/>
      <c r="E62" s="78"/>
      <c r="F62" s="78"/>
      <c r="G62" s="78"/>
      <c r="H62" s="78"/>
      <c r="I62" s="78"/>
      <c r="J62" s="82"/>
      <c r="K62" s="82"/>
      <c r="L62" s="82"/>
      <c r="M62" s="82"/>
      <c r="N62" s="82"/>
      <c r="O62" s="82"/>
      <c r="P62" s="82"/>
      <c r="Q62" s="82"/>
      <c r="R62" s="82"/>
    </row>
    <row r="63" spans="4:18" x14ac:dyDescent="0.2">
      <c r="D63" s="99">
        <f ca="1">DATE(selected_year, 3, 1)</f>
        <v>45717</v>
      </c>
      <c r="E63" s="77" t="s">
        <v>10</v>
      </c>
      <c r="F63" s="67">
        <f t="shared" ref="F63" ca="1" si="8">MONTH(D63)</f>
        <v>3</v>
      </c>
      <c r="G63" s="67">
        <f ca="1">IF(selected_period="Total Year", 1, IF(selected_period=cc_month_number, 1, 0))</f>
        <v>0</v>
      </c>
      <c r="H63" s="67">
        <f t="shared" ref="H63" si="9">1*$E$49</f>
        <v>1</v>
      </c>
      <c r="I63" s="67">
        <f t="shared" ref="I63" si="10">1*$E$52</f>
        <v>1</v>
      </c>
      <c r="J63" s="79" cm="1">
        <f t="array" aca="1" ref="J63" ca="1">SUM( Tracking[Amount] * (Tracking[Type]=cc_type) * (YEAR(Tracking[Effective Date])=selected_year) * (MONTH(Tracking[Effective Date])=cc_month_number) )</f>
        <v>0</v>
      </c>
      <c r="K63" s="79" cm="1">
        <f t="array" aca="1" ref="K63" ca="1">INDEX('Budget Planning'!$E:$EM, income_total_row, MATCH(DATE(selected_year, cc_month_number, 1), 'Budget Planning'!$E$9:$EM$9, 0)  )</f>
        <v>0</v>
      </c>
      <c r="L63" s="79">
        <f ca="1">cc_budget-cc_tracked</f>
        <v>0</v>
      </c>
      <c r="M63" s="41">
        <f ca="1">cc_in_focus * cc_show_type * MIN(cc_tracked, cc_budget)</f>
        <v>0</v>
      </c>
      <c r="N63" s="41">
        <f ca="1">cc_in_focus * cc_show_type * cc_show_remaining_budget * IF(cc_delta&gt;0, cc_delta, 0)</f>
        <v>0</v>
      </c>
      <c r="O63" s="79">
        <f ca="1">cc_in_focus * cc_show_type * IF(cc_delta&lt;0, ABS(cc_delta), 0)</f>
        <v>0</v>
      </c>
      <c r="P63" s="41">
        <f ca="1">NOT(cc_in_focus) * cc_show_type * MIN(cc_tracked, cc_budget)</f>
        <v>0</v>
      </c>
      <c r="Q63" s="41">
        <f ca="1">NOT(cc_in_focus) * cc_show_type * cc_show_remaining_budget * IF(cc_delta&gt;0, cc_delta, 0)</f>
        <v>0</v>
      </c>
      <c r="R63" s="79">
        <f ca="1">NOT(cc_in_focus) * cc_show_type * IF(cc_delta&lt;0, ABS(cc_delta), 0)</f>
        <v>0</v>
      </c>
    </row>
    <row r="64" spans="4:18" x14ac:dyDescent="0.2">
      <c r="D64" s="97"/>
      <c r="E64" s="67" t="s">
        <v>13</v>
      </c>
      <c r="F64" s="67">
        <f t="shared" ref="F64" ca="1" si="11">MONTH(D63)</f>
        <v>3</v>
      </c>
      <c r="G64" s="67">
        <f ca="1">IF(selected_period="Total Year", 1, IF(selected_period=cc_month_number, 1, 0))</f>
        <v>0</v>
      </c>
      <c r="H64" s="67">
        <f t="shared" ref="H64" si="12">1*$E$50</f>
        <v>1</v>
      </c>
      <c r="I64" s="67">
        <f t="shared" si="3"/>
        <v>1</v>
      </c>
      <c r="J64" s="79" cm="1">
        <f t="array" aca="1" ref="J64" ca="1">SUM( Tracking[Amount] * (Tracking[Type]=cc_type) * (YEAR(Tracking[Effective Date])=selected_year) * (MONTH(Tracking[Effective Date])=cc_month_number) )</f>
        <v>0</v>
      </c>
      <c r="K64" s="79" cm="1">
        <f t="array" aca="1" ref="K64" ca="1">INDEX('Budget Planning'!$E:$EM, expenses_total_row, MATCH(DATE(selected_year, cc_month_number, 1), 'Budget Planning'!$E$9:$EM$9, 0)  )</f>
        <v>0</v>
      </c>
      <c r="L64" s="79">
        <f ca="1">cc_budget-cc_tracked</f>
        <v>0</v>
      </c>
      <c r="M64" s="41">
        <f ca="1">cc_in_focus * cc_show_type * MIN(cc_tracked, cc_budget)</f>
        <v>0</v>
      </c>
      <c r="N64" s="41">
        <f ca="1">cc_in_focus * cc_show_type * cc_show_remaining_budget * IF(cc_delta&gt;0, cc_delta, 0)</f>
        <v>0</v>
      </c>
      <c r="O64" s="79">
        <f ca="1">cc_in_focus * cc_show_type * IF(cc_delta&lt;0, ABS(cc_delta), 0)</f>
        <v>0</v>
      </c>
      <c r="P64" s="41">
        <f ca="1">NOT(cc_in_focus) * cc_show_type * MIN(cc_tracked, cc_budget)</f>
        <v>0</v>
      </c>
      <c r="Q64" s="41">
        <f ca="1">NOT(cc_in_focus) * cc_show_type * cc_show_remaining_budget * IF(cc_delta&gt;0, cc_delta, 0)</f>
        <v>0</v>
      </c>
      <c r="R64" s="79">
        <f ca="1">NOT(cc_in_focus) * cc_show_type * IF(cc_delta&lt;0, ABS(cc_delta), 0)</f>
        <v>0</v>
      </c>
    </row>
    <row r="65" spans="4:18" x14ac:dyDescent="0.2">
      <c r="D65" s="97"/>
      <c r="E65" s="67" t="s">
        <v>15</v>
      </c>
      <c r="F65" s="67">
        <f t="shared" ref="F65" ca="1" si="13">MONTH(D63)</f>
        <v>3</v>
      </c>
      <c r="G65" s="67">
        <f ca="1">IF(selected_period="Total Year", 1, IF(selected_period=cc_month_number, 1, 0))</f>
        <v>0</v>
      </c>
      <c r="H65" s="67">
        <f t="shared" ref="H65" si="14">1*$E$51</f>
        <v>1</v>
      </c>
      <c r="I65" s="67">
        <f t="shared" si="3"/>
        <v>1</v>
      </c>
      <c r="J65" s="79" cm="1">
        <f t="array" aca="1" ref="J65" ca="1">SUM( Tracking[Amount] * (Tracking[Type]=cc_type) * (YEAR(Tracking[Effective Date])=selected_year) * (MONTH(Tracking[Effective Date])=cc_month_number) )</f>
        <v>0</v>
      </c>
      <c r="K65" s="79" cm="1">
        <f t="array" aca="1" ref="K65" ca="1">INDEX('Budget Planning'!$E:$EM, savings_total_row, MATCH(DATE(selected_year, cc_month_number, 1), 'Budget Planning'!$E$9:$EM$9, 0)  )</f>
        <v>0</v>
      </c>
      <c r="L65" s="79">
        <f ca="1">cc_budget-cc_tracked</f>
        <v>0</v>
      </c>
      <c r="M65" s="41">
        <f ca="1">cc_in_focus * cc_show_type * MIN(cc_tracked, cc_budget)</f>
        <v>0</v>
      </c>
      <c r="N65" s="41">
        <f ca="1">cc_in_focus * cc_show_type * cc_show_remaining_budget * IF(cc_delta&gt;0, cc_delta, 0)</f>
        <v>0</v>
      </c>
      <c r="O65" s="79">
        <f ca="1">cc_in_focus * cc_show_type * IF(cc_delta&lt;0, ABS(cc_delta), 0)</f>
        <v>0</v>
      </c>
      <c r="P65" s="41">
        <f ca="1">NOT(cc_in_focus) * cc_show_type * MIN(cc_tracked, cc_budget)</f>
        <v>0</v>
      </c>
      <c r="Q65" s="41">
        <f ca="1">NOT(cc_in_focus) * cc_show_type * cc_show_remaining_budget * IF(cc_delta&gt;0, cc_delta, 0)</f>
        <v>0</v>
      </c>
      <c r="R65" s="79">
        <f ca="1">NOT(cc_in_focus) * cc_show_type * IF(cc_delta&lt;0, ABS(cc_delta), 0)</f>
        <v>0</v>
      </c>
    </row>
    <row r="66" spans="4:18" x14ac:dyDescent="0.2">
      <c r="D66" s="98"/>
      <c r="E66" s="78"/>
      <c r="F66" s="78"/>
      <c r="G66" s="78"/>
      <c r="H66" s="78"/>
      <c r="I66" s="78"/>
      <c r="J66" s="82"/>
      <c r="K66" s="82"/>
      <c r="L66" s="82"/>
      <c r="M66" s="82"/>
      <c r="N66" s="82"/>
      <c r="O66" s="82"/>
      <c r="P66" s="82"/>
      <c r="Q66" s="82"/>
      <c r="R66" s="82"/>
    </row>
    <row r="67" spans="4:18" x14ac:dyDescent="0.2">
      <c r="D67" s="99">
        <f ca="1">DATE(selected_year, 4, 1)</f>
        <v>45748</v>
      </c>
      <c r="E67" s="77" t="s">
        <v>10</v>
      </c>
      <c r="F67" s="67">
        <f t="shared" ref="F67" ca="1" si="15">MONTH(D67)</f>
        <v>4</v>
      </c>
      <c r="G67" s="67">
        <f ca="1">IF(selected_period="Total Year", 1, IF(selected_period=cc_month_number, 1, 0))</f>
        <v>0</v>
      </c>
      <c r="H67" s="67">
        <f t="shared" ref="H67" si="16">1*$E$49</f>
        <v>1</v>
      </c>
      <c r="I67" s="67">
        <f t="shared" ref="I67" si="17">1*$E$52</f>
        <v>1</v>
      </c>
      <c r="J67" s="79" cm="1">
        <f t="array" aca="1" ref="J67" ca="1">SUM( Tracking[Amount] * (Tracking[Type]=cc_type) * (YEAR(Tracking[Effective Date])=selected_year) * (MONTH(Tracking[Effective Date])=cc_month_number) )</f>
        <v>0</v>
      </c>
      <c r="K67" s="79" cm="1">
        <f t="array" aca="1" ref="K67" ca="1">INDEX('Budget Planning'!$E:$EM, income_total_row, MATCH(DATE(selected_year, cc_month_number, 1), 'Budget Planning'!$E$9:$EM$9, 0)  )</f>
        <v>0</v>
      </c>
      <c r="L67" s="79">
        <f ca="1">cc_budget-cc_tracked</f>
        <v>0</v>
      </c>
      <c r="M67" s="41">
        <f ca="1">cc_in_focus * cc_show_type * MIN(cc_tracked, cc_budget)</f>
        <v>0</v>
      </c>
      <c r="N67" s="41">
        <f ca="1">cc_in_focus * cc_show_type * cc_show_remaining_budget * IF(cc_delta&gt;0, cc_delta, 0)</f>
        <v>0</v>
      </c>
      <c r="O67" s="79">
        <f ca="1">cc_in_focus * cc_show_type * IF(cc_delta&lt;0, ABS(cc_delta), 0)</f>
        <v>0</v>
      </c>
      <c r="P67" s="41">
        <f ca="1">NOT(cc_in_focus) * cc_show_type * MIN(cc_tracked, cc_budget)</f>
        <v>0</v>
      </c>
      <c r="Q67" s="41">
        <f ca="1">NOT(cc_in_focus) * cc_show_type * cc_show_remaining_budget * IF(cc_delta&gt;0, cc_delta, 0)</f>
        <v>0</v>
      </c>
      <c r="R67" s="79">
        <f ca="1">NOT(cc_in_focus) * cc_show_type * IF(cc_delta&lt;0, ABS(cc_delta), 0)</f>
        <v>0</v>
      </c>
    </row>
    <row r="68" spans="4:18" x14ac:dyDescent="0.2">
      <c r="D68" s="97"/>
      <c r="E68" s="67" t="s">
        <v>13</v>
      </c>
      <c r="F68" s="67">
        <f t="shared" ref="F68" ca="1" si="18">MONTH(D67)</f>
        <v>4</v>
      </c>
      <c r="G68" s="67">
        <f ca="1">IF(selected_period="Total Year", 1, IF(selected_period=cc_month_number, 1, 0))</f>
        <v>0</v>
      </c>
      <c r="H68" s="67">
        <f t="shared" ref="H68" si="19">1*$E$50</f>
        <v>1</v>
      </c>
      <c r="I68" s="67">
        <f t="shared" si="3"/>
        <v>1</v>
      </c>
      <c r="J68" s="79" cm="1">
        <f t="array" aca="1" ref="J68" ca="1">SUM( Tracking[Amount] * (Tracking[Type]=cc_type) * (YEAR(Tracking[Effective Date])=selected_year) * (MONTH(Tracking[Effective Date])=cc_month_number) )</f>
        <v>0</v>
      </c>
      <c r="K68" s="79" cm="1">
        <f t="array" aca="1" ref="K68" ca="1">INDEX('Budget Planning'!$E:$EM, expenses_total_row, MATCH(DATE(selected_year, cc_month_number, 1), 'Budget Planning'!$E$9:$EM$9, 0)  )</f>
        <v>0</v>
      </c>
      <c r="L68" s="79">
        <f ca="1">cc_budget-cc_tracked</f>
        <v>0</v>
      </c>
      <c r="M68" s="41">
        <f ca="1">cc_in_focus * cc_show_type * MIN(cc_tracked, cc_budget)</f>
        <v>0</v>
      </c>
      <c r="N68" s="41">
        <f ca="1">cc_in_focus * cc_show_type * cc_show_remaining_budget * IF(cc_delta&gt;0, cc_delta, 0)</f>
        <v>0</v>
      </c>
      <c r="O68" s="79">
        <f ca="1">cc_in_focus * cc_show_type * IF(cc_delta&lt;0, ABS(cc_delta), 0)</f>
        <v>0</v>
      </c>
      <c r="P68" s="41">
        <f ca="1">NOT(cc_in_focus) * cc_show_type * MIN(cc_tracked, cc_budget)</f>
        <v>0</v>
      </c>
      <c r="Q68" s="41">
        <f ca="1">NOT(cc_in_focus) * cc_show_type * cc_show_remaining_budget * IF(cc_delta&gt;0, cc_delta, 0)</f>
        <v>0</v>
      </c>
      <c r="R68" s="79">
        <f ca="1">NOT(cc_in_focus) * cc_show_type * IF(cc_delta&lt;0, ABS(cc_delta), 0)</f>
        <v>0</v>
      </c>
    </row>
    <row r="69" spans="4:18" x14ac:dyDescent="0.2">
      <c r="D69" s="97"/>
      <c r="E69" s="67" t="s">
        <v>15</v>
      </c>
      <c r="F69" s="67">
        <f t="shared" ref="F69" ca="1" si="20">MONTH(D67)</f>
        <v>4</v>
      </c>
      <c r="G69" s="67">
        <f ca="1">IF(selected_period="Total Year", 1, IF(selected_period=cc_month_number, 1, 0))</f>
        <v>0</v>
      </c>
      <c r="H69" s="67">
        <f t="shared" ref="H69" si="21">1*$E$51</f>
        <v>1</v>
      </c>
      <c r="I69" s="67">
        <f t="shared" si="3"/>
        <v>1</v>
      </c>
      <c r="J69" s="79" cm="1">
        <f t="array" aca="1" ref="J69" ca="1">SUM( Tracking[Amount] * (Tracking[Type]=cc_type) * (YEAR(Tracking[Effective Date])=selected_year) * (MONTH(Tracking[Effective Date])=cc_month_number) )</f>
        <v>0</v>
      </c>
      <c r="K69" s="79" cm="1">
        <f t="array" aca="1" ref="K69" ca="1">INDEX('Budget Planning'!$E:$EM, savings_total_row, MATCH(DATE(selected_year, cc_month_number, 1), 'Budget Planning'!$E$9:$EM$9, 0)  )</f>
        <v>0</v>
      </c>
      <c r="L69" s="79">
        <f ca="1">cc_budget-cc_tracked</f>
        <v>0</v>
      </c>
      <c r="M69" s="41">
        <f ca="1">cc_in_focus * cc_show_type * MIN(cc_tracked, cc_budget)</f>
        <v>0</v>
      </c>
      <c r="N69" s="41">
        <f ca="1">cc_in_focus * cc_show_type * cc_show_remaining_budget * IF(cc_delta&gt;0, cc_delta, 0)</f>
        <v>0</v>
      </c>
      <c r="O69" s="79">
        <f ca="1">cc_in_focus * cc_show_type * IF(cc_delta&lt;0, ABS(cc_delta), 0)</f>
        <v>0</v>
      </c>
      <c r="P69" s="41">
        <f ca="1">NOT(cc_in_focus) * cc_show_type * MIN(cc_tracked, cc_budget)</f>
        <v>0</v>
      </c>
      <c r="Q69" s="41">
        <f ca="1">NOT(cc_in_focus) * cc_show_type * cc_show_remaining_budget * IF(cc_delta&gt;0, cc_delta, 0)</f>
        <v>0</v>
      </c>
      <c r="R69" s="79">
        <f ca="1">NOT(cc_in_focus) * cc_show_type * IF(cc_delta&lt;0, ABS(cc_delta), 0)</f>
        <v>0</v>
      </c>
    </row>
    <row r="70" spans="4:18" x14ac:dyDescent="0.2">
      <c r="D70" s="98"/>
      <c r="E70" s="78"/>
      <c r="F70" s="78"/>
      <c r="G70" s="78"/>
      <c r="H70" s="78"/>
      <c r="I70" s="78"/>
      <c r="J70" s="82"/>
      <c r="K70" s="82"/>
      <c r="L70" s="82"/>
      <c r="M70" s="82"/>
      <c r="N70" s="82"/>
      <c r="O70" s="82"/>
      <c r="P70" s="82"/>
      <c r="Q70" s="82"/>
      <c r="R70" s="82"/>
    </row>
    <row r="71" spans="4:18" x14ac:dyDescent="0.2">
      <c r="D71" s="99">
        <f ca="1">DATE(selected_year, 5, 1)</f>
        <v>45778</v>
      </c>
      <c r="E71" s="77" t="s">
        <v>10</v>
      </c>
      <c r="F71" s="67">
        <f t="shared" ref="F71" ca="1" si="22">MONTH(D71)</f>
        <v>5</v>
      </c>
      <c r="G71" s="67">
        <f ca="1">IF(selected_period="Total Year", 1, IF(selected_period=cc_month_number, 1, 0))</f>
        <v>0</v>
      </c>
      <c r="H71" s="67">
        <f t="shared" ref="H71" si="23">1*$E$49</f>
        <v>1</v>
      </c>
      <c r="I71" s="67">
        <f t="shared" ref="I71" si="24">1*$E$52</f>
        <v>1</v>
      </c>
      <c r="J71" s="79" cm="1">
        <f t="array" aca="1" ref="J71" ca="1">SUM( Tracking[Amount] * (Tracking[Type]=cc_type) * (YEAR(Tracking[Effective Date])=selected_year) * (MONTH(Tracking[Effective Date])=cc_month_number) )</f>
        <v>0</v>
      </c>
      <c r="K71" s="79" cm="1">
        <f t="array" aca="1" ref="K71" ca="1">INDEX('Budget Planning'!$E:$EM, income_total_row, MATCH(DATE(selected_year, cc_month_number, 1), 'Budget Planning'!$E$9:$EM$9, 0)  )</f>
        <v>0</v>
      </c>
      <c r="L71" s="79">
        <f ca="1">cc_budget-cc_tracked</f>
        <v>0</v>
      </c>
      <c r="M71" s="41">
        <f ca="1">cc_in_focus * cc_show_type * MIN(cc_tracked, cc_budget)</f>
        <v>0</v>
      </c>
      <c r="N71" s="41">
        <f ca="1">cc_in_focus * cc_show_type * cc_show_remaining_budget * IF(cc_delta&gt;0, cc_delta, 0)</f>
        <v>0</v>
      </c>
      <c r="O71" s="79">
        <f ca="1">cc_in_focus * cc_show_type * IF(cc_delta&lt;0, ABS(cc_delta), 0)</f>
        <v>0</v>
      </c>
      <c r="P71" s="41">
        <f ca="1">NOT(cc_in_focus) * cc_show_type * MIN(cc_tracked, cc_budget)</f>
        <v>0</v>
      </c>
      <c r="Q71" s="41">
        <f ca="1">NOT(cc_in_focus) * cc_show_type * cc_show_remaining_budget * IF(cc_delta&gt;0, cc_delta, 0)</f>
        <v>0</v>
      </c>
      <c r="R71" s="79">
        <f ca="1">NOT(cc_in_focus) * cc_show_type * IF(cc_delta&lt;0, ABS(cc_delta), 0)</f>
        <v>0</v>
      </c>
    </row>
    <row r="72" spans="4:18" x14ac:dyDescent="0.2">
      <c r="D72" s="97"/>
      <c r="E72" s="67" t="s">
        <v>13</v>
      </c>
      <c r="F72" s="67">
        <f t="shared" ref="F72" ca="1" si="25">MONTH(D71)</f>
        <v>5</v>
      </c>
      <c r="G72" s="67">
        <f ca="1">IF(selected_period="Total Year", 1, IF(selected_period=cc_month_number, 1, 0))</f>
        <v>0</v>
      </c>
      <c r="H72" s="67">
        <f t="shared" ref="H72" si="26">1*$E$50</f>
        <v>1</v>
      </c>
      <c r="I72" s="67">
        <f t="shared" si="3"/>
        <v>1</v>
      </c>
      <c r="J72" s="79" cm="1">
        <f t="array" aca="1" ref="J72" ca="1">SUM( Tracking[Amount] * (Tracking[Type]=cc_type) * (YEAR(Tracking[Effective Date])=selected_year) * (MONTH(Tracking[Effective Date])=cc_month_number) )</f>
        <v>0</v>
      </c>
      <c r="K72" s="79" cm="1">
        <f t="array" aca="1" ref="K72" ca="1">INDEX('Budget Planning'!$E:$EM, expenses_total_row, MATCH(DATE(selected_year, cc_month_number, 1), 'Budget Planning'!$E$9:$EM$9, 0)  )</f>
        <v>0</v>
      </c>
      <c r="L72" s="79">
        <f ca="1">cc_budget-cc_tracked</f>
        <v>0</v>
      </c>
      <c r="M72" s="41">
        <f ca="1">cc_in_focus * cc_show_type * MIN(cc_tracked, cc_budget)</f>
        <v>0</v>
      </c>
      <c r="N72" s="41">
        <f ca="1">cc_in_focus * cc_show_type * cc_show_remaining_budget * IF(cc_delta&gt;0, cc_delta, 0)</f>
        <v>0</v>
      </c>
      <c r="O72" s="79">
        <f ca="1">cc_in_focus * cc_show_type * IF(cc_delta&lt;0, ABS(cc_delta), 0)</f>
        <v>0</v>
      </c>
      <c r="P72" s="41">
        <f ca="1">NOT(cc_in_focus) * cc_show_type * MIN(cc_tracked, cc_budget)</f>
        <v>0</v>
      </c>
      <c r="Q72" s="41">
        <f ca="1">NOT(cc_in_focus) * cc_show_type * cc_show_remaining_budget * IF(cc_delta&gt;0, cc_delta, 0)</f>
        <v>0</v>
      </c>
      <c r="R72" s="79">
        <f ca="1">NOT(cc_in_focus) * cc_show_type * IF(cc_delta&lt;0, ABS(cc_delta), 0)</f>
        <v>0</v>
      </c>
    </row>
    <row r="73" spans="4:18" x14ac:dyDescent="0.2">
      <c r="D73" s="97"/>
      <c r="E73" s="67" t="s">
        <v>15</v>
      </c>
      <c r="F73" s="67">
        <f t="shared" ref="F73" ca="1" si="27">MONTH(D71)</f>
        <v>5</v>
      </c>
      <c r="G73" s="67">
        <f ca="1">IF(selected_period="Total Year", 1, IF(selected_period=cc_month_number, 1, 0))</f>
        <v>0</v>
      </c>
      <c r="H73" s="67">
        <f t="shared" ref="H73" si="28">1*$E$51</f>
        <v>1</v>
      </c>
      <c r="I73" s="67">
        <f t="shared" si="3"/>
        <v>1</v>
      </c>
      <c r="J73" s="79" cm="1">
        <f t="array" aca="1" ref="J73" ca="1">SUM( Tracking[Amount] * (Tracking[Type]=cc_type) * (YEAR(Tracking[Effective Date])=selected_year) * (MONTH(Tracking[Effective Date])=cc_month_number) )</f>
        <v>0</v>
      </c>
      <c r="K73" s="79" cm="1">
        <f t="array" aca="1" ref="K73" ca="1">INDEX('Budget Planning'!$E:$EM, savings_total_row, MATCH(DATE(selected_year, cc_month_number, 1), 'Budget Planning'!$E$9:$EM$9, 0)  )</f>
        <v>0</v>
      </c>
      <c r="L73" s="79">
        <f ca="1">cc_budget-cc_tracked</f>
        <v>0</v>
      </c>
      <c r="M73" s="41">
        <f ca="1">cc_in_focus * cc_show_type * MIN(cc_tracked, cc_budget)</f>
        <v>0</v>
      </c>
      <c r="N73" s="41">
        <f ca="1">cc_in_focus * cc_show_type * cc_show_remaining_budget * IF(cc_delta&gt;0, cc_delta, 0)</f>
        <v>0</v>
      </c>
      <c r="O73" s="79">
        <f ca="1">cc_in_focus * cc_show_type * IF(cc_delta&lt;0, ABS(cc_delta), 0)</f>
        <v>0</v>
      </c>
      <c r="P73" s="41">
        <f ca="1">NOT(cc_in_focus) * cc_show_type * MIN(cc_tracked, cc_budget)</f>
        <v>0</v>
      </c>
      <c r="Q73" s="41">
        <f ca="1">NOT(cc_in_focus) * cc_show_type * cc_show_remaining_budget * IF(cc_delta&gt;0, cc_delta, 0)</f>
        <v>0</v>
      </c>
      <c r="R73" s="79">
        <f ca="1">NOT(cc_in_focus) * cc_show_type * IF(cc_delta&lt;0, ABS(cc_delta), 0)</f>
        <v>0</v>
      </c>
    </row>
    <row r="74" spans="4:18" x14ac:dyDescent="0.2">
      <c r="D74" s="98"/>
      <c r="E74" s="78"/>
      <c r="F74" s="78"/>
      <c r="G74" s="78"/>
      <c r="H74" s="78"/>
      <c r="I74" s="78"/>
      <c r="J74" s="82"/>
      <c r="K74" s="82"/>
      <c r="L74" s="82"/>
      <c r="M74" s="82"/>
      <c r="N74" s="82"/>
      <c r="O74" s="82"/>
      <c r="P74" s="82"/>
      <c r="Q74" s="82"/>
      <c r="R74" s="82"/>
    </row>
    <row r="75" spans="4:18" x14ac:dyDescent="0.2">
      <c r="D75" s="99">
        <f ca="1">DATE(selected_year, 6, 1)</f>
        <v>45809</v>
      </c>
      <c r="E75" s="77" t="s">
        <v>10</v>
      </c>
      <c r="F75" s="67">
        <f t="shared" ref="F75" ca="1" si="29">MONTH(D75)</f>
        <v>6</v>
      </c>
      <c r="G75" s="67">
        <f ca="1">IF(selected_period="Total Year", 1, IF(selected_period=cc_month_number, 1, 0))</f>
        <v>0</v>
      </c>
      <c r="H75" s="67">
        <f t="shared" ref="H75" si="30">1*$E$49</f>
        <v>1</v>
      </c>
      <c r="I75" s="67">
        <f t="shared" ref="I75" si="31">1*$E$52</f>
        <v>1</v>
      </c>
      <c r="J75" s="79" cm="1">
        <f t="array" aca="1" ref="J75" ca="1">SUM( Tracking[Amount] * (Tracking[Type]=cc_type) * (YEAR(Tracking[Effective Date])=selected_year) * (MONTH(Tracking[Effective Date])=cc_month_number) )</f>
        <v>0</v>
      </c>
      <c r="K75" s="79" cm="1">
        <f t="array" aca="1" ref="K75" ca="1">INDEX('Budget Planning'!$E:$EM, income_total_row, MATCH(DATE(selected_year, cc_month_number, 1), 'Budget Planning'!$E$9:$EM$9, 0)  )</f>
        <v>0</v>
      </c>
      <c r="L75" s="79">
        <f ca="1">cc_budget-cc_tracked</f>
        <v>0</v>
      </c>
      <c r="M75" s="41">
        <f ca="1">cc_in_focus * cc_show_type * MIN(cc_tracked, cc_budget)</f>
        <v>0</v>
      </c>
      <c r="N75" s="41">
        <f ca="1">cc_in_focus * cc_show_type * cc_show_remaining_budget * IF(cc_delta&gt;0, cc_delta, 0)</f>
        <v>0</v>
      </c>
      <c r="O75" s="79">
        <f ca="1">cc_in_focus * cc_show_type * IF(cc_delta&lt;0, ABS(cc_delta), 0)</f>
        <v>0</v>
      </c>
      <c r="P75" s="41">
        <f ca="1">NOT(cc_in_focus) * cc_show_type * MIN(cc_tracked, cc_budget)</f>
        <v>0</v>
      </c>
      <c r="Q75" s="41">
        <f ca="1">NOT(cc_in_focus) * cc_show_type * cc_show_remaining_budget * IF(cc_delta&gt;0, cc_delta, 0)</f>
        <v>0</v>
      </c>
      <c r="R75" s="79">
        <f ca="1">NOT(cc_in_focus) * cc_show_type * IF(cc_delta&lt;0, ABS(cc_delta), 0)</f>
        <v>0</v>
      </c>
    </row>
    <row r="76" spans="4:18" x14ac:dyDescent="0.2">
      <c r="D76" s="97"/>
      <c r="E76" s="67" t="s">
        <v>13</v>
      </c>
      <c r="F76" s="67">
        <f t="shared" ref="F76" ca="1" si="32">MONTH(D75)</f>
        <v>6</v>
      </c>
      <c r="G76" s="67">
        <f ca="1">IF(selected_period="Total Year", 1, IF(selected_period=cc_month_number, 1, 0))</f>
        <v>0</v>
      </c>
      <c r="H76" s="67">
        <f t="shared" ref="H76" si="33">1*$E$50</f>
        <v>1</v>
      </c>
      <c r="I76" s="67">
        <f t="shared" si="3"/>
        <v>1</v>
      </c>
      <c r="J76" s="79" cm="1">
        <f t="array" aca="1" ref="J76" ca="1">SUM( Tracking[Amount] * (Tracking[Type]=cc_type) * (YEAR(Tracking[Effective Date])=selected_year) * (MONTH(Tracking[Effective Date])=cc_month_number) )</f>
        <v>0</v>
      </c>
      <c r="K76" s="79" cm="1">
        <f t="array" aca="1" ref="K76" ca="1">INDEX('Budget Planning'!$E:$EM, expenses_total_row, MATCH(DATE(selected_year, cc_month_number, 1), 'Budget Planning'!$E$9:$EM$9, 0)  )</f>
        <v>0</v>
      </c>
      <c r="L76" s="79">
        <f ca="1">cc_budget-cc_tracked</f>
        <v>0</v>
      </c>
      <c r="M76" s="41">
        <f ca="1">cc_in_focus * cc_show_type * MIN(cc_tracked, cc_budget)</f>
        <v>0</v>
      </c>
      <c r="N76" s="41">
        <f ca="1">cc_in_focus * cc_show_type * cc_show_remaining_budget * IF(cc_delta&gt;0, cc_delta, 0)</f>
        <v>0</v>
      </c>
      <c r="O76" s="79">
        <f ca="1">cc_in_focus * cc_show_type * IF(cc_delta&lt;0, ABS(cc_delta), 0)</f>
        <v>0</v>
      </c>
      <c r="P76" s="41">
        <f ca="1">NOT(cc_in_focus) * cc_show_type * MIN(cc_tracked, cc_budget)</f>
        <v>0</v>
      </c>
      <c r="Q76" s="41">
        <f ca="1">NOT(cc_in_focus) * cc_show_type * cc_show_remaining_budget * IF(cc_delta&gt;0, cc_delta, 0)</f>
        <v>0</v>
      </c>
      <c r="R76" s="79">
        <f ca="1">NOT(cc_in_focus) * cc_show_type * IF(cc_delta&lt;0, ABS(cc_delta), 0)</f>
        <v>0</v>
      </c>
    </row>
    <row r="77" spans="4:18" x14ac:dyDescent="0.2">
      <c r="D77" s="97"/>
      <c r="E77" s="67" t="s">
        <v>15</v>
      </c>
      <c r="F77" s="67">
        <f t="shared" ref="F77" ca="1" si="34">MONTH(D75)</f>
        <v>6</v>
      </c>
      <c r="G77" s="67">
        <f ca="1">IF(selected_period="Total Year", 1, IF(selected_period=cc_month_number, 1, 0))</f>
        <v>0</v>
      </c>
      <c r="H77" s="67">
        <f t="shared" ref="H77" si="35">1*$E$51</f>
        <v>1</v>
      </c>
      <c r="I77" s="67">
        <f t="shared" si="3"/>
        <v>1</v>
      </c>
      <c r="J77" s="79" cm="1">
        <f t="array" aca="1" ref="J77" ca="1">SUM( Tracking[Amount] * (Tracking[Type]=cc_type) * (YEAR(Tracking[Effective Date])=selected_year) * (MONTH(Tracking[Effective Date])=cc_month_number) )</f>
        <v>0</v>
      </c>
      <c r="K77" s="79" cm="1">
        <f t="array" aca="1" ref="K77" ca="1">INDEX('Budget Planning'!$E:$EM, savings_total_row, MATCH(DATE(selected_year, cc_month_number, 1), 'Budget Planning'!$E$9:$EM$9, 0)  )</f>
        <v>0</v>
      </c>
      <c r="L77" s="79">
        <f ca="1">cc_budget-cc_tracked</f>
        <v>0</v>
      </c>
      <c r="M77" s="41">
        <f ca="1">cc_in_focus * cc_show_type * MIN(cc_tracked, cc_budget)</f>
        <v>0</v>
      </c>
      <c r="N77" s="41">
        <f ca="1">cc_in_focus * cc_show_type * cc_show_remaining_budget * IF(cc_delta&gt;0, cc_delta, 0)</f>
        <v>0</v>
      </c>
      <c r="O77" s="79">
        <f ca="1">cc_in_focus * cc_show_type * IF(cc_delta&lt;0, ABS(cc_delta), 0)</f>
        <v>0</v>
      </c>
      <c r="P77" s="41">
        <f ca="1">NOT(cc_in_focus) * cc_show_type * MIN(cc_tracked, cc_budget)</f>
        <v>0</v>
      </c>
      <c r="Q77" s="41">
        <f ca="1">NOT(cc_in_focus) * cc_show_type * cc_show_remaining_budget * IF(cc_delta&gt;0, cc_delta, 0)</f>
        <v>0</v>
      </c>
      <c r="R77" s="79">
        <f ca="1">NOT(cc_in_focus) * cc_show_type * IF(cc_delta&lt;0, ABS(cc_delta), 0)</f>
        <v>0</v>
      </c>
    </row>
    <row r="78" spans="4:18" x14ac:dyDescent="0.2">
      <c r="D78" s="98"/>
      <c r="E78" s="78"/>
      <c r="F78" s="78"/>
      <c r="G78" s="78"/>
      <c r="H78" s="78"/>
      <c r="I78" s="78"/>
      <c r="J78" s="82"/>
      <c r="K78" s="82"/>
      <c r="L78" s="82"/>
      <c r="M78" s="82"/>
      <c r="N78" s="82"/>
      <c r="O78" s="82"/>
      <c r="P78" s="82"/>
      <c r="Q78" s="82"/>
      <c r="R78" s="82"/>
    </row>
    <row r="79" spans="4:18" x14ac:dyDescent="0.2">
      <c r="D79" s="99">
        <f ca="1">DATE(selected_year, 7, 1)</f>
        <v>45839</v>
      </c>
      <c r="E79" s="77" t="s">
        <v>10</v>
      </c>
      <c r="F79" s="67">
        <f t="shared" ref="F79" ca="1" si="36">MONTH(D79)</f>
        <v>7</v>
      </c>
      <c r="G79" s="67">
        <f ca="1">IF(selected_period="Total Year", 1, IF(selected_period=cc_month_number, 1, 0))</f>
        <v>0</v>
      </c>
      <c r="H79" s="67">
        <f t="shared" ref="H79" si="37">1*$E$49</f>
        <v>1</v>
      </c>
      <c r="I79" s="67">
        <f t="shared" ref="I79" si="38">1*$E$52</f>
        <v>1</v>
      </c>
      <c r="J79" s="79" cm="1">
        <f t="array" aca="1" ref="J79" ca="1">SUM( Tracking[Amount] * (Tracking[Type]=cc_type) * (YEAR(Tracking[Effective Date])=selected_year) * (MONTH(Tracking[Effective Date])=cc_month_number) )</f>
        <v>0</v>
      </c>
      <c r="K79" s="79" cm="1">
        <f t="array" aca="1" ref="K79" ca="1">INDEX('Budget Planning'!$E:$EM, income_total_row, MATCH(DATE(selected_year, cc_month_number, 1), 'Budget Planning'!$E$9:$EM$9, 0)  )</f>
        <v>0</v>
      </c>
      <c r="L79" s="79">
        <f ca="1">cc_budget-cc_tracked</f>
        <v>0</v>
      </c>
      <c r="M79" s="41">
        <f ca="1">cc_in_focus * cc_show_type * MIN(cc_tracked, cc_budget)</f>
        <v>0</v>
      </c>
      <c r="N79" s="41">
        <f ca="1">cc_in_focus * cc_show_type * cc_show_remaining_budget * IF(cc_delta&gt;0, cc_delta, 0)</f>
        <v>0</v>
      </c>
      <c r="O79" s="79">
        <f ca="1">cc_in_focus * cc_show_type * IF(cc_delta&lt;0, ABS(cc_delta), 0)</f>
        <v>0</v>
      </c>
      <c r="P79" s="41">
        <f ca="1">NOT(cc_in_focus) * cc_show_type * MIN(cc_tracked, cc_budget)</f>
        <v>0</v>
      </c>
      <c r="Q79" s="41">
        <f ca="1">NOT(cc_in_focus) * cc_show_type * cc_show_remaining_budget * IF(cc_delta&gt;0, cc_delta, 0)</f>
        <v>0</v>
      </c>
      <c r="R79" s="79">
        <f ca="1">NOT(cc_in_focus) * cc_show_type * IF(cc_delta&lt;0, ABS(cc_delta), 0)</f>
        <v>0</v>
      </c>
    </row>
    <row r="80" spans="4:18" x14ac:dyDescent="0.2">
      <c r="D80" s="97"/>
      <c r="E80" s="67" t="s">
        <v>13</v>
      </c>
      <c r="F80" s="67">
        <f t="shared" ref="F80" ca="1" si="39">MONTH(D79)</f>
        <v>7</v>
      </c>
      <c r="G80" s="67">
        <f ca="1">IF(selected_period="Total Year", 1, IF(selected_period=cc_month_number, 1, 0))</f>
        <v>0</v>
      </c>
      <c r="H80" s="67">
        <f t="shared" ref="H80" si="40">1*$E$50</f>
        <v>1</v>
      </c>
      <c r="I80" s="67">
        <f t="shared" si="3"/>
        <v>1</v>
      </c>
      <c r="J80" s="79" cm="1">
        <f t="array" aca="1" ref="J80" ca="1">SUM( Tracking[Amount] * (Tracking[Type]=cc_type) * (YEAR(Tracking[Effective Date])=selected_year) * (MONTH(Tracking[Effective Date])=cc_month_number) )</f>
        <v>0</v>
      </c>
      <c r="K80" s="79" cm="1">
        <f t="array" aca="1" ref="K80" ca="1">INDEX('Budget Planning'!$E:$EM, expenses_total_row, MATCH(DATE(selected_year, cc_month_number, 1), 'Budget Planning'!$E$9:$EM$9, 0)  )</f>
        <v>0</v>
      </c>
      <c r="L80" s="79">
        <f ca="1">cc_budget-cc_tracked</f>
        <v>0</v>
      </c>
      <c r="M80" s="41">
        <f ca="1">cc_in_focus * cc_show_type * MIN(cc_tracked, cc_budget)</f>
        <v>0</v>
      </c>
      <c r="N80" s="41">
        <f ca="1">cc_in_focus * cc_show_type * cc_show_remaining_budget * IF(cc_delta&gt;0, cc_delta, 0)</f>
        <v>0</v>
      </c>
      <c r="O80" s="79">
        <f ca="1">cc_in_focus * cc_show_type * IF(cc_delta&lt;0, ABS(cc_delta), 0)</f>
        <v>0</v>
      </c>
      <c r="P80" s="41">
        <f ca="1">NOT(cc_in_focus) * cc_show_type * MIN(cc_tracked, cc_budget)</f>
        <v>0</v>
      </c>
      <c r="Q80" s="41">
        <f ca="1">NOT(cc_in_focus) * cc_show_type * cc_show_remaining_budget * IF(cc_delta&gt;0, cc_delta, 0)</f>
        <v>0</v>
      </c>
      <c r="R80" s="79">
        <f ca="1">NOT(cc_in_focus) * cc_show_type * IF(cc_delta&lt;0, ABS(cc_delta), 0)</f>
        <v>0</v>
      </c>
    </row>
    <row r="81" spans="4:18" x14ac:dyDescent="0.2">
      <c r="D81" s="97"/>
      <c r="E81" s="67" t="s">
        <v>15</v>
      </c>
      <c r="F81" s="67">
        <f t="shared" ref="F81" ca="1" si="41">MONTH(D79)</f>
        <v>7</v>
      </c>
      <c r="G81" s="67">
        <f ca="1">IF(selected_period="Total Year", 1, IF(selected_period=cc_month_number, 1, 0))</f>
        <v>0</v>
      </c>
      <c r="H81" s="67">
        <f t="shared" ref="H81" si="42">1*$E$51</f>
        <v>1</v>
      </c>
      <c r="I81" s="67">
        <f t="shared" si="3"/>
        <v>1</v>
      </c>
      <c r="J81" s="79" cm="1">
        <f t="array" aca="1" ref="J81" ca="1">SUM( Tracking[Amount] * (Tracking[Type]=cc_type) * (YEAR(Tracking[Effective Date])=selected_year) * (MONTH(Tracking[Effective Date])=cc_month_number) )</f>
        <v>0</v>
      </c>
      <c r="K81" s="79" cm="1">
        <f t="array" aca="1" ref="K81" ca="1">INDEX('Budget Planning'!$E:$EM, savings_total_row, MATCH(DATE(selected_year, cc_month_number, 1), 'Budget Planning'!$E$9:$EM$9, 0)  )</f>
        <v>0</v>
      </c>
      <c r="L81" s="79">
        <f ca="1">cc_budget-cc_tracked</f>
        <v>0</v>
      </c>
      <c r="M81" s="41">
        <f ca="1">cc_in_focus * cc_show_type * MIN(cc_tracked, cc_budget)</f>
        <v>0</v>
      </c>
      <c r="N81" s="41">
        <f ca="1">cc_in_focus * cc_show_type * cc_show_remaining_budget * IF(cc_delta&gt;0, cc_delta, 0)</f>
        <v>0</v>
      </c>
      <c r="O81" s="79">
        <f ca="1">cc_in_focus * cc_show_type * IF(cc_delta&lt;0, ABS(cc_delta), 0)</f>
        <v>0</v>
      </c>
      <c r="P81" s="41">
        <f ca="1">NOT(cc_in_focus) * cc_show_type * MIN(cc_tracked, cc_budget)</f>
        <v>0</v>
      </c>
      <c r="Q81" s="41">
        <f ca="1">NOT(cc_in_focus) * cc_show_type * cc_show_remaining_budget * IF(cc_delta&gt;0, cc_delta, 0)</f>
        <v>0</v>
      </c>
      <c r="R81" s="79">
        <f ca="1">NOT(cc_in_focus) * cc_show_type * IF(cc_delta&lt;0, ABS(cc_delta), 0)</f>
        <v>0</v>
      </c>
    </row>
    <row r="82" spans="4:18" x14ac:dyDescent="0.2">
      <c r="D82" s="98"/>
      <c r="E82" s="78"/>
      <c r="F82" s="78"/>
      <c r="G82" s="78"/>
      <c r="H82" s="78"/>
      <c r="I82" s="78"/>
      <c r="J82" s="82"/>
      <c r="K82" s="82"/>
      <c r="L82" s="82"/>
      <c r="M82" s="82"/>
      <c r="N82" s="82"/>
      <c r="O82" s="82"/>
      <c r="P82" s="82"/>
      <c r="Q82" s="82"/>
      <c r="R82" s="82"/>
    </row>
    <row r="83" spans="4:18" x14ac:dyDescent="0.2">
      <c r="D83" s="99">
        <f ca="1">DATE(selected_year, 8, 1)</f>
        <v>45870</v>
      </c>
      <c r="E83" s="77" t="s">
        <v>10</v>
      </c>
      <c r="F83" s="67">
        <f t="shared" ref="F83" ca="1" si="43">MONTH(D83)</f>
        <v>8</v>
      </c>
      <c r="G83" s="67">
        <f ca="1">IF(selected_period="Total Year", 1, IF(selected_period=cc_month_number, 1, 0))</f>
        <v>0</v>
      </c>
      <c r="H83" s="67">
        <f t="shared" ref="H83" si="44">1*$E$49</f>
        <v>1</v>
      </c>
      <c r="I83" s="67">
        <f t="shared" ref="I83" si="45">1*$E$52</f>
        <v>1</v>
      </c>
      <c r="J83" s="79" cm="1">
        <f t="array" aca="1" ref="J83" ca="1">SUM( Tracking[Amount] * (Tracking[Type]=cc_type) * (YEAR(Tracking[Effective Date])=selected_year) * (MONTH(Tracking[Effective Date])=cc_month_number) )</f>
        <v>0</v>
      </c>
      <c r="K83" s="79" cm="1">
        <f t="array" aca="1" ref="K83" ca="1">INDEX('Budget Planning'!$E:$EM, income_total_row, MATCH(DATE(selected_year, cc_month_number, 1), 'Budget Planning'!$E$9:$EM$9, 0)  )</f>
        <v>0</v>
      </c>
      <c r="L83" s="79">
        <f ca="1">cc_budget-cc_tracked</f>
        <v>0</v>
      </c>
      <c r="M83" s="41">
        <f ca="1">cc_in_focus * cc_show_type * MIN(cc_tracked, cc_budget)</f>
        <v>0</v>
      </c>
      <c r="N83" s="41">
        <f ca="1">cc_in_focus * cc_show_type * cc_show_remaining_budget * IF(cc_delta&gt;0, cc_delta, 0)</f>
        <v>0</v>
      </c>
      <c r="O83" s="79">
        <f ca="1">cc_in_focus * cc_show_type * IF(cc_delta&lt;0, ABS(cc_delta), 0)</f>
        <v>0</v>
      </c>
      <c r="P83" s="41">
        <f ca="1">NOT(cc_in_focus) * cc_show_type * MIN(cc_tracked, cc_budget)</f>
        <v>0</v>
      </c>
      <c r="Q83" s="41">
        <f ca="1">NOT(cc_in_focus) * cc_show_type * cc_show_remaining_budget * IF(cc_delta&gt;0, cc_delta, 0)</f>
        <v>0</v>
      </c>
      <c r="R83" s="79">
        <f ca="1">NOT(cc_in_focus) * cc_show_type * IF(cc_delta&lt;0, ABS(cc_delta), 0)</f>
        <v>0</v>
      </c>
    </row>
    <row r="84" spans="4:18" x14ac:dyDescent="0.2">
      <c r="D84" s="97"/>
      <c r="E84" s="67" t="s">
        <v>13</v>
      </c>
      <c r="F84" s="67">
        <f t="shared" ref="F84" ca="1" si="46">MONTH(D83)</f>
        <v>8</v>
      </c>
      <c r="G84" s="67">
        <f ca="1">IF(selected_period="Total Year", 1, IF(selected_period=cc_month_number, 1, 0))</f>
        <v>0</v>
      </c>
      <c r="H84" s="67">
        <f t="shared" ref="H84" si="47">1*$E$50</f>
        <v>1</v>
      </c>
      <c r="I84" s="67">
        <f t="shared" si="3"/>
        <v>1</v>
      </c>
      <c r="J84" s="79" cm="1">
        <f t="array" aca="1" ref="J84" ca="1">SUM( Tracking[Amount] * (Tracking[Type]=cc_type) * (YEAR(Tracking[Effective Date])=selected_year) * (MONTH(Tracking[Effective Date])=cc_month_number) )</f>
        <v>0</v>
      </c>
      <c r="K84" s="79" cm="1">
        <f t="array" aca="1" ref="K84" ca="1">INDEX('Budget Planning'!$E:$EM, expenses_total_row, MATCH(DATE(selected_year, cc_month_number, 1), 'Budget Planning'!$E$9:$EM$9, 0)  )</f>
        <v>0</v>
      </c>
      <c r="L84" s="79">
        <f ca="1">cc_budget-cc_tracked</f>
        <v>0</v>
      </c>
      <c r="M84" s="41">
        <f ca="1">cc_in_focus * cc_show_type * MIN(cc_tracked, cc_budget)</f>
        <v>0</v>
      </c>
      <c r="N84" s="41">
        <f ca="1">cc_in_focus * cc_show_type * cc_show_remaining_budget * IF(cc_delta&gt;0, cc_delta, 0)</f>
        <v>0</v>
      </c>
      <c r="O84" s="79">
        <f ca="1">cc_in_focus * cc_show_type * IF(cc_delta&lt;0, ABS(cc_delta), 0)</f>
        <v>0</v>
      </c>
      <c r="P84" s="41">
        <f ca="1">NOT(cc_in_focus) * cc_show_type * MIN(cc_tracked, cc_budget)</f>
        <v>0</v>
      </c>
      <c r="Q84" s="41">
        <f ca="1">NOT(cc_in_focus) * cc_show_type * cc_show_remaining_budget * IF(cc_delta&gt;0, cc_delta, 0)</f>
        <v>0</v>
      </c>
      <c r="R84" s="79">
        <f ca="1">NOT(cc_in_focus) * cc_show_type * IF(cc_delta&lt;0, ABS(cc_delta), 0)</f>
        <v>0</v>
      </c>
    </row>
    <row r="85" spans="4:18" x14ac:dyDescent="0.2">
      <c r="D85" s="97"/>
      <c r="E85" s="67" t="s">
        <v>15</v>
      </c>
      <c r="F85" s="67">
        <f t="shared" ref="F85" ca="1" si="48">MONTH(D83)</f>
        <v>8</v>
      </c>
      <c r="G85" s="67">
        <f ca="1">IF(selected_period="Total Year", 1, IF(selected_period=cc_month_number, 1, 0))</f>
        <v>0</v>
      </c>
      <c r="H85" s="67">
        <f t="shared" ref="H85" si="49">1*$E$51</f>
        <v>1</v>
      </c>
      <c r="I85" s="67">
        <f t="shared" si="3"/>
        <v>1</v>
      </c>
      <c r="J85" s="79" cm="1">
        <f t="array" aca="1" ref="J85" ca="1">SUM( Tracking[Amount] * (Tracking[Type]=cc_type) * (YEAR(Tracking[Effective Date])=selected_year) * (MONTH(Tracking[Effective Date])=cc_month_number) )</f>
        <v>0</v>
      </c>
      <c r="K85" s="79" cm="1">
        <f t="array" aca="1" ref="K85" ca="1">INDEX('Budget Planning'!$E:$EM, savings_total_row, MATCH(DATE(selected_year, cc_month_number, 1), 'Budget Planning'!$E$9:$EM$9, 0)  )</f>
        <v>0</v>
      </c>
      <c r="L85" s="79">
        <f ca="1">cc_budget-cc_tracked</f>
        <v>0</v>
      </c>
      <c r="M85" s="41">
        <f ca="1">cc_in_focus * cc_show_type * MIN(cc_tracked, cc_budget)</f>
        <v>0</v>
      </c>
      <c r="N85" s="41">
        <f ca="1">cc_in_focus * cc_show_type * cc_show_remaining_budget * IF(cc_delta&gt;0, cc_delta, 0)</f>
        <v>0</v>
      </c>
      <c r="O85" s="79">
        <f ca="1">cc_in_focus * cc_show_type * IF(cc_delta&lt;0, ABS(cc_delta), 0)</f>
        <v>0</v>
      </c>
      <c r="P85" s="41">
        <f ca="1">NOT(cc_in_focus) * cc_show_type * MIN(cc_tracked, cc_budget)</f>
        <v>0</v>
      </c>
      <c r="Q85" s="41">
        <f ca="1">NOT(cc_in_focus) * cc_show_type * cc_show_remaining_budget * IF(cc_delta&gt;0, cc_delta, 0)</f>
        <v>0</v>
      </c>
      <c r="R85" s="79">
        <f ca="1">NOT(cc_in_focus) * cc_show_type * IF(cc_delta&lt;0, ABS(cc_delta), 0)</f>
        <v>0</v>
      </c>
    </row>
    <row r="86" spans="4:18" x14ac:dyDescent="0.2">
      <c r="D86" s="98"/>
      <c r="E86" s="78"/>
      <c r="F86" s="78"/>
      <c r="G86" s="78"/>
      <c r="H86" s="78"/>
      <c r="I86" s="78"/>
      <c r="J86" s="82"/>
      <c r="K86" s="82"/>
      <c r="L86" s="82"/>
      <c r="M86" s="82"/>
      <c r="N86" s="82"/>
      <c r="O86" s="82"/>
      <c r="P86" s="82"/>
      <c r="Q86" s="82"/>
      <c r="R86" s="82"/>
    </row>
    <row r="87" spans="4:18" x14ac:dyDescent="0.2">
      <c r="D87" s="99">
        <f ca="1">DATE(selected_year, 9, 1)</f>
        <v>45901</v>
      </c>
      <c r="E87" s="77" t="s">
        <v>10</v>
      </c>
      <c r="F87" s="67">
        <f t="shared" ref="F87" ca="1" si="50">MONTH(D87)</f>
        <v>9</v>
      </c>
      <c r="G87" s="67">
        <f ca="1">IF(selected_period="Total Year", 1, IF(selected_period=cc_month_number, 1, 0))</f>
        <v>0</v>
      </c>
      <c r="H87" s="67">
        <f t="shared" ref="H87" si="51">1*$E$49</f>
        <v>1</v>
      </c>
      <c r="I87" s="67">
        <f t="shared" ref="I87" si="52">1*$E$52</f>
        <v>1</v>
      </c>
      <c r="J87" s="79" cm="1">
        <f t="array" aca="1" ref="J87" ca="1">SUM( Tracking[Amount] * (Tracking[Type]=cc_type) * (YEAR(Tracking[Effective Date])=selected_year) * (MONTH(Tracking[Effective Date])=cc_month_number) )</f>
        <v>0</v>
      </c>
      <c r="K87" s="79" cm="1">
        <f t="array" aca="1" ref="K87" ca="1">INDEX('Budget Planning'!$E:$EM, income_total_row, MATCH(DATE(selected_year, cc_month_number, 1), 'Budget Planning'!$E$9:$EM$9, 0)  )</f>
        <v>0</v>
      </c>
      <c r="L87" s="79">
        <f ca="1">cc_budget-cc_tracked</f>
        <v>0</v>
      </c>
      <c r="M87" s="41">
        <f ca="1">cc_in_focus * cc_show_type * MIN(cc_tracked, cc_budget)</f>
        <v>0</v>
      </c>
      <c r="N87" s="41">
        <f ca="1">cc_in_focus * cc_show_type * cc_show_remaining_budget * IF(cc_delta&gt;0, cc_delta, 0)</f>
        <v>0</v>
      </c>
      <c r="O87" s="79">
        <f ca="1">cc_in_focus * cc_show_type * IF(cc_delta&lt;0, ABS(cc_delta), 0)</f>
        <v>0</v>
      </c>
      <c r="P87" s="41">
        <f ca="1">NOT(cc_in_focus) * cc_show_type * MIN(cc_tracked, cc_budget)</f>
        <v>0</v>
      </c>
      <c r="Q87" s="41">
        <f ca="1">NOT(cc_in_focus) * cc_show_type * cc_show_remaining_budget * IF(cc_delta&gt;0, cc_delta, 0)</f>
        <v>0</v>
      </c>
      <c r="R87" s="79">
        <f ca="1">NOT(cc_in_focus) * cc_show_type * IF(cc_delta&lt;0, ABS(cc_delta), 0)</f>
        <v>0</v>
      </c>
    </row>
    <row r="88" spans="4:18" x14ac:dyDescent="0.2">
      <c r="D88" s="97"/>
      <c r="E88" s="67" t="s">
        <v>13</v>
      </c>
      <c r="F88" s="67">
        <f t="shared" ref="F88" ca="1" si="53">MONTH(D87)</f>
        <v>9</v>
      </c>
      <c r="G88" s="67">
        <f ca="1">IF(selected_period="Total Year", 1, IF(selected_period=cc_month_number, 1, 0))</f>
        <v>0</v>
      </c>
      <c r="H88" s="67">
        <f t="shared" ref="H88" si="54">1*$E$50</f>
        <v>1</v>
      </c>
      <c r="I88" s="67">
        <f t="shared" si="3"/>
        <v>1</v>
      </c>
      <c r="J88" s="79" cm="1">
        <f t="array" aca="1" ref="J88" ca="1">SUM( Tracking[Amount] * (Tracking[Type]=cc_type) * (YEAR(Tracking[Effective Date])=selected_year) * (MONTH(Tracking[Effective Date])=cc_month_number) )</f>
        <v>0</v>
      </c>
      <c r="K88" s="79" cm="1">
        <f t="array" aca="1" ref="K88" ca="1">INDEX('Budget Planning'!$E:$EM, expenses_total_row, MATCH(DATE(selected_year, cc_month_number, 1), 'Budget Planning'!$E$9:$EM$9, 0)  )</f>
        <v>0</v>
      </c>
      <c r="L88" s="79">
        <f ca="1">cc_budget-cc_tracked</f>
        <v>0</v>
      </c>
      <c r="M88" s="41">
        <f ca="1">cc_in_focus * cc_show_type * MIN(cc_tracked, cc_budget)</f>
        <v>0</v>
      </c>
      <c r="N88" s="41">
        <f ca="1">cc_in_focus * cc_show_type * cc_show_remaining_budget * IF(cc_delta&gt;0, cc_delta, 0)</f>
        <v>0</v>
      </c>
      <c r="O88" s="79">
        <f ca="1">cc_in_focus * cc_show_type * IF(cc_delta&lt;0, ABS(cc_delta), 0)</f>
        <v>0</v>
      </c>
      <c r="P88" s="41">
        <f ca="1">NOT(cc_in_focus) * cc_show_type * MIN(cc_tracked, cc_budget)</f>
        <v>0</v>
      </c>
      <c r="Q88" s="41">
        <f ca="1">NOT(cc_in_focus) * cc_show_type * cc_show_remaining_budget * IF(cc_delta&gt;0, cc_delta, 0)</f>
        <v>0</v>
      </c>
      <c r="R88" s="79">
        <f ca="1">NOT(cc_in_focus) * cc_show_type * IF(cc_delta&lt;0, ABS(cc_delta), 0)</f>
        <v>0</v>
      </c>
    </row>
    <row r="89" spans="4:18" x14ac:dyDescent="0.2">
      <c r="D89" s="97"/>
      <c r="E89" s="67" t="s">
        <v>15</v>
      </c>
      <c r="F89" s="67">
        <f t="shared" ref="F89" ca="1" si="55">MONTH(D87)</f>
        <v>9</v>
      </c>
      <c r="G89" s="67">
        <f ca="1">IF(selected_period="Total Year", 1, IF(selected_period=cc_month_number, 1, 0))</f>
        <v>0</v>
      </c>
      <c r="H89" s="67">
        <f t="shared" ref="H89" si="56">1*$E$51</f>
        <v>1</v>
      </c>
      <c r="I89" s="67">
        <f t="shared" si="3"/>
        <v>1</v>
      </c>
      <c r="J89" s="79" cm="1">
        <f t="array" aca="1" ref="J89" ca="1">SUM( Tracking[Amount] * (Tracking[Type]=cc_type) * (YEAR(Tracking[Effective Date])=selected_year) * (MONTH(Tracking[Effective Date])=cc_month_number) )</f>
        <v>0</v>
      </c>
      <c r="K89" s="79" cm="1">
        <f t="array" aca="1" ref="K89" ca="1">INDEX('Budget Planning'!$E:$EM, savings_total_row, MATCH(DATE(selected_year, cc_month_number, 1), 'Budget Planning'!$E$9:$EM$9, 0)  )</f>
        <v>0</v>
      </c>
      <c r="L89" s="79">
        <f ca="1">cc_budget-cc_tracked</f>
        <v>0</v>
      </c>
      <c r="M89" s="41">
        <f ca="1">cc_in_focus * cc_show_type * MIN(cc_tracked, cc_budget)</f>
        <v>0</v>
      </c>
      <c r="N89" s="41">
        <f ca="1">cc_in_focus * cc_show_type * cc_show_remaining_budget * IF(cc_delta&gt;0, cc_delta, 0)</f>
        <v>0</v>
      </c>
      <c r="O89" s="79">
        <f ca="1">cc_in_focus * cc_show_type * IF(cc_delta&lt;0, ABS(cc_delta), 0)</f>
        <v>0</v>
      </c>
      <c r="P89" s="41">
        <f ca="1">NOT(cc_in_focus) * cc_show_type * MIN(cc_tracked, cc_budget)</f>
        <v>0</v>
      </c>
      <c r="Q89" s="41">
        <f ca="1">NOT(cc_in_focus) * cc_show_type * cc_show_remaining_budget * IF(cc_delta&gt;0, cc_delta, 0)</f>
        <v>0</v>
      </c>
      <c r="R89" s="79">
        <f ca="1">NOT(cc_in_focus) * cc_show_type * IF(cc_delta&lt;0, ABS(cc_delta), 0)</f>
        <v>0</v>
      </c>
    </row>
    <row r="90" spans="4:18" x14ac:dyDescent="0.2">
      <c r="D90" s="98"/>
      <c r="E90" s="78"/>
      <c r="F90" s="78"/>
      <c r="G90" s="78"/>
      <c r="H90" s="78"/>
      <c r="I90" s="78"/>
      <c r="J90" s="82"/>
      <c r="K90" s="82"/>
      <c r="L90" s="82"/>
      <c r="M90" s="82"/>
      <c r="N90" s="82"/>
      <c r="O90" s="82"/>
      <c r="P90" s="82"/>
      <c r="Q90" s="82"/>
      <c r="R90" s="82"/>
    </row>
    <row r="91" spans="4:18" x14ac:dyDescent="0.2">
      <c r="D91" s="99">
        <f ca="1">DATE(selected_year, 10, 1)</f>
        <v>45931</v>
      </c>
      <c r="E91" s="77" t="s">
        <v>10</v>
      </c>
      <c r="F91" s="67">
        <f t="shared" ref="F91" ca="1" si="57">MONTH(D91)</f>
        <v>10</v>
      </c>
      <c r="G91" s="67">
        <f ca="1">IF(selected_period="Total Year", 1, IF(selected_period=cc_month_number, 1, 0))</f>
        <v>0</v>
      </c>
      <c r="H91" s="67">
        <f t="shared" ref="H91" si="58">1*$E$49</f>
        <v>1</v>
      </c>
      <c r="I91" s="67">
        <f t="shared" ref="I91" si="59">1*$E$52</f>
        <v>1</v>
      </c>
      <c r="J91" s="79" cm="1">
        <f t="array" aca="1" ref="J91" ca="1">SUM( Tracking[Amount] * (Tracking[Type]=cc_type) * (YEAR(Tracking[Effective Date])=selected_year) * (MONTH(Tracking[Effective Date])=cc_month_number) )</f>
        <v>0</v>
      </c>
      <c r="K91" s="79" cm="1">
        <f t="array" aca="1" ref="K91" ca="1">INDEX('Budget Planning'!$E:$EM, income_total_row, MATCH(DATE(selected_year, cc_month_number, 1), 'Budget Planning'!$E$9:$EM$9, 0)  )</f>
        <v>0</v>
      </c>
      <c r="L91" s="79">
        <f ca="1">cc_budget-cc_tracked</f>
        <v>0</v>
      </c>
      <c r="M91" s="41">
        <f ca="1">cc_in_focus * cc_show_type * MIN(cc_tracked, cc_budget)</f>
        <v>0</v>
      </c>
      <c r="N91" s="41">
        <f ca="1">cc_in_focus * cc_show_type * cc_show_remaining_budget * IF(cc_delta&gt;0, cc_delta, 0)</f>
        <v>0</v>
      </c>
      <c r="O91" s="79">
        <f ca="1">cc_in_focus * cc_show_type * IF(cc_delta&lt;0, ABS(cc_delta), 0)</f>
        <v>0</v>
      </c>
      <c r="P91" s="41">
        <f ca="1">NOT(cc_in_focus) * cc_show_type * MIN(cc_tracked, cc_budget)</f>
        <v>0</v>
      </c>
      <c r="Q91" s="41">
        <f ca="1">NOT(cc_in_focus) * cc_show_type * cc_show_remaining_budget * IF(cc_delta&gt;0, cc_delta, 0)</f>
        <v>0</v>
      </c>
      <c r="R91" s="79">
        <f ca="1">NOT(cc_in_focus) * cc_show_type * IF(cc_delta&lt;0, ABS(cc_delta), 0)</f>
        <v>0</v>
      </c>
    </row>
    <row r="92" spans="4:18" x14ac:dyDescent="0.2">
      <c r="D92" s="97"/>
      <c r="E92" s="67" t="s">
        <v>13</v>
      </c>
      <c r="F92" s="67">
        <f t="shared" ref="F92" ca="1" si="60">MONTH(D91)</f>
        <v>10</v>
      </c>
      <c r="G92" s="67">
        <f ca="1">IF(selected_period="Total Year", 1, IF(selected_period=cc_month_number, 1, 0))</f>
        <v>0</v>
      </c>
      <c r="H92" s="67">
        <f t="shared" ref="H92" si="61">1*$E$50</f>
        <v>1</v>
      </c>
      <c r="I92" s="67">
        <f t="shared" si="3"/>
        <v>1</v>
      </c>
      <c r="J92" s="79" cm="1">
        <f t="array" aca="1" ref="J92" ca="1">SUM( Tracking[Amount] * (Tracking[Type]=cc_type) * (YEAR(Tracking[Effective Date])=selected_year) * (MONTH(Tracking[Effective Date])=cc_month_number) )</f>
        <v>0</v>
      </c>
      <c r="K92" s="79" cm="1">
        <f t="array" aca="1" ref="K92" ca="1">INDEX('Budget Planning'!$E:$EM, expenses_total_row, MATCH(DATE(selected_year, cc_month_number, 1), 'Budget Planning'!$E$9:$EM$9, 0)  )</f>
        <v>0</v>
      </c>
      <c r="L92" s="79">
        <f ca="1">cc_budget-cc_tracked</f>
        <v>0</v>
      </c>
      <c r="M92" s="41">
        <f ca="1">cc_in_focus * cc_show_type * MIN(cc_tracked, cc_budget)</f>
        <v>0</v>
      </c>
      <c r="N92" s="41">
        <f ca="1">cc_in_focus * cc_show_type * cc_show_remaining_budget * IF(cc_delta&gt;0, cc_delta, 0)</f>
        <v>0</v>
      </c>
      <c r="O92" s="79">
        <f ca="1">cc_in_focus * cc_show_type * IF(cc_delta&lt;0, ABS(cc_delta), 0)</f>
        <v>0</v>
      </c>
      <c r="P92" s="41">
        <f ca="1">NOT(cc_in_focus) * cc_show_type * MIN(cc_tracked, cc_budget)</f>
        <v>0</v>
      </c>
      <c r="Q92" s="41">
        <f ca="1">NOT(cc_in_focus) * cc_show_type * cc_show_remaining_budget * IF(cc_delta&gt;0, cc_delta, 0)</f>
        <v>0</v>
      </c>
      <c r="R92" s="79">
        <f ca="1">NOT(cc_in_focus) * cc_show_type * IF(cc_delta&lt;0, ABS(cc_delta), 0)</f>
        <v>0</v>
      </c>
    </row>
    <row r="93" spans="4:18" x14ac:dyDescent="0.2">
      <c r="D93" s="97"/>
      <c r="E93" s="67" t="s">
        <v>15</v>
      </c>
      <c r="F93" s="67">
        <f t="shared" ref="F93" ca="1" si="62">MONTH(D91)</f>
        <v>10</v>
      </c>
      <c r="G93" s="67">
        <f ca="1">IF(selected_period="Total Year", 1, IF(selected_period=cc_month_number, 1, 0))</f>
        <v>0</v>
      </c>
      <c r="H93" s="67">
        <f t="shared" ref="H93" si="63">1*$E$51</f>
        <v>1</v>
      </c>
      <c r="I93" s="67">
        <f t="shared" si="3"/>
        <v>1</v>
      </c>
      <c r="J93" s="79" cm="1">
        <f t="array" aca="1" ref="J93" ca="1">SUM( Tracking[Amount] * (Tracking[Type]=cc_type) * (YEAR(Tracking[Effective Date])=selected_year) * (MONTH(Tracking[Effective Date])=cc_month_number) )</f>
        <v>0</v>
      </c>
      <c r="K93" s="79" cm="1">
        <f t="array" aca="1" ref="K93" ca="1">INDEX('Budget Planning'!$E:$EM, savings_total_row, MATCH(DATE(selected_year, cc_month_number, 1), 'Budget Planning'!$E$9:$EM$9, 0)  )</f>
        <v>0</v>
      </c>
      <c r="L93" s="79">
        <f ca="1">cc_budget-cc_tracked</f>
        <v>0</v>
      </c>
      <c r="M93" s="41">
        <f ca="1">cc_in_focus * cc_show_type * MIN(cc_tracked, cc_budget)</f>
        <v>0</v>
      </c>
      <c r="N93" s="41">
        <f ca="1">cc_in_focus * cc_show_type * cc_show_remaining_budget * IF(cc_delta&gt;0, cc_delta, 0)</f>
        <v>0</v>
      </c>
      <c r="O93" s="79">
        <f ca="1">cc_in_focus * cc_show_type * IF(cc_delta&lt;0, ABS(cc_delta), 0)</f>
        <v>0</v>
      </c>
      <c r="P93" s="41">
        <f ca="1">NOT(cc_in_focus) * cc_show_type * MIN(cc_tracked, cc_budget)</f>
        <v>0</v>
      </c>
      <c r="Q93" s="41">
        <f ca="1">NOT(cc_in_focus) * cc_show_type * cc_show_remaining_budget * IF(cc_delta&gt;0, cc_delta, 0)</f>
        <v>0</v>
      </c>
      <c r="R93" s="79">
        <f ca="1">NOT(cc_in_focus) * cc_show_type * IF(cc_delta&lt;0, ABS(cc_delta), 0)</f>
        <v>0</v>
      </c>
    </row>
    <row r="94" spans="4:18" x14ac:dyDescent="0.2">
      <c r="D94" s="98"/>
      <c r="E94" s="78"/>
      <c r="F94" s="78"/>
      <c r="G94" s="78"/>
      <c r="H94" s="78"/>
      <c r="I94" s="78"/>
      <c r="J94" s="82"/>
      <c r="K94" s="82"/>
      <c r="L94" s="82"/>
      <c r="M94" s="82"/>
      <c r="N94" s="82"/>
      <c r="O94" s="82"/>
      <c r="P94" s="82"/>
      <c r="Q94" s="82"/>
      <c r="R94" s="82"/>
    </row>
    <row r="95" spans="4:18" x14ac:dyDescent="0.2">
      <c r="D95" s="99">
        <f ca="1">DATE(selected_year, 11, 1)</f>
        <v>45962</v>
      </c>
      <c r="E95" s="77" t="s">
        <v>10</v>
      </c>
      <c r="F95" s="67">
        <f t="shared" ref="F95" ca="1" si="64">MONTH(D95)</f>
        <v>11</v>
      </c>
      <c r="G95" s="67">
        <f ca="1">IF(selected_period="Total Year", 1, IF(selected_period=cc_month_number, 1, 0))</f>
        <v>0</v>
      </c>
      <c r="H95" s="67">
        <f t="shared" ref="H95" si="65">1*$E$49</f>
        <v>1</v>
      </c>
      <c r="I95" s="67">
        <f t="shared" ref="I95" si="66">1*$E$52</f>
        <v>1</v>
      </c>
      <c r="J95" s="79" cm="1">
        <f t="array" aca="1" ref="J95" ca="1">SUM( Tracking[Amount] * (Tracking[Type]=cc_type) * (YEAR(Tracking[Effective Date])=selected_year) * (MONTH(Tracking[Effective Date])=cc_month_number) )</f>
        <v>0</v>
      </c>
      <c r="K95" s="79" cm="1">
        <f t="array" aca="1" ref="K95" ca="1">INDEX('Budget Planning'!$E:$EM, income_total_row, MATCH(DATE(selected_year, cc_month_number, 1), 'Budget Planning'!$E$9:$EM$9, 0)  )</f>
        <v>0</v>
      </c>
      <c r="L95" s="79">
        <f ca="1">cc_budget-cc_tracked</f>
        <v>0</v>
      </c>
      <c r="M95" s="41">
        <f ca="1">cc_in_focus * cc_show_type * MIN(cc_tracked, cc_budget)</f>
        <v>0</v>
      </c>
      <c r="N95" s="41">
        <f ca="1">cc_in_focus * cc_show_type * cc_show_remaining_budget * IF(cc_delta&gt;0, cc_delta, 0)</f>
        <v>0</v>
      </c>
      <c r="O95" s="79">
        <f ca="1">cc_in_focus * cc_show_type * IF(cc_delta&lt;0, ABS(cc_delta), 0)</f>
        <v>0</v>
      </c>
      <c r="P95" s="41">
        <f ca="1">NOT(cc_in_focus) * cc_show_type * MIN(cc_tracked, cc_budget)</f>
        <v>0</v>
      </c>
      <c r="Q95" s="41">
        <f ca="1">NOT(cc_in_focus) * cc_show_type * cc_show_remaining_budget * IF(cc_delta&gt;0, cc_delta, 0)</f>
        <v>0</v>
      </c>
      <c r="R95" s="79">
        <f ca="1">NOT(cc_in_focus) * cc_show_type * IF(cc_delta&lt;0, ABS(cc_delta), 0)</f>
        <v>0</v>
      </c>
    </row>
    <row r="96" spans="4:18" x14ac:dyDescent="0.2">
      <c r="D96" s="97"/>
      <c r="E96" s="67" t="s">
        <v>13</v>
      </c>
      <c r="F96" s="67">
        <f t="shared" ref="F96" ca="1" si="67">MONTH(D95)</f>
        <v>11</v>
      </c>
      <c r="G96" s="67">
        <f ca="1">IF(selected_period="Total Year", 1, IF(selected_period=cc_month_number, 1, 0))</f>
        <v>0</v>
      </c>
      <c r="H96" s="67">
        <f t="shared" ref="H96" si="68">1*$E$50</f>
        <v>1</v>
      </c>
      <c r="I96" s="67">
        <f t="shared" si="3"/>
        <v>1</v>
      </c>
      <c r="J96" s="79" cm="1">
        <f t="array" aca="1" ref="J96" ca="1">SUM( Tracking[Amount] * (Tracking[Type]=cc_type) * (YEAR(Tracking[Effective Date])=selected_year) * (MONTH(Tracking[Effective Date])=cc_month_number) )</f>
        <v>0</v>
      </c>
      <c r="K96" s="79" cm="1">
        <f t="array" aca="1" ref="K96" ca="1">INDEX('Budget Planning'!$E:$EM, expenses_total_row, MATCH(DATE(selected_year, cc_month_number, 1), 'Budget Planning'!$E$9:$EM$9, 0)  )</f>
        <v>0</v>
      </c>
      <c r="L96" s="79">
        <f ca="1">cc_budget-cc_tracked</f>
        <v>0</v>
      </c>
      <c r="M96" s="41">
        <f ca="1">cc_in_focus * cc_show_type * MIN(cc_tracked, cc_budget)</f>
        <v>0</v>
      </c>
      <c r="N96" s="41">
        <f ca="1">cc_in_focus * cc_show_type * cc_show_remaining_budget * IF(cc_delta&gt;0, cc_delta, 0)</f>
        <v>0</v>
      </c>
      <c r="O96" s="79">
        <f ca="1">cc_in_focus * cc_show_type * IF(cc_delta&lt;0, ABS(cc_delta), 0)</f>
        <v>0</v>
      </c>
      <c r="P96" s="41">
        <f ca="1">NOT(cc_in_focus) * cc_show_type * MIN(cc_tracked, cc_budget)</f>
        <v>0</v>
      </c>
      <c r="Q96" s="41">
        <f ca="1">NOT(cc_in_focus) * cc_show_type * cc_show_remaining_budget * IF(cc_delta&gt;0, cc_delta, 0)</f>
        <v>0</v>
      </c>
      <c r="R96" s="79">
        <f ca="1">NOT(cc_in_focus) * cc_show_type * IF(cc_delta&lt;0, ABS(cc_delta), 0)</f>
        <v>0</v>
      </c>
    </row>
    <row r="97" spans="4:18" x14ac:dyDescent="0.2">
      <c r="D97" s="97"/>
      <c r="E97" s="67" t="s">
        <v>15</v>
      </c>
      <c r="F97" s="67">
        <f t="shared" ref="F97" ca="1" si="69">MONTH(D95)</f>
        <v>11</v>
      </c>
      <c r="G97" s="67">
        <f ca="1">IF(selected_period="Total Year", 1, IF(selected_period=cc_month_number, 1, 0))</f>
        <v>0</v>
      </c>
      <c r="H97" s="67">
        <f t="shared" ref="H97" si="70">1*$E$51</f>
        <v>1</v>
      </c>
      <c r="I97" s="67">
        <f t="shared" si="3"/>
        <v>1</v>
      </c>
      <c r="J97" s="79" cm="1">
        <f t="array" aca="1" ref="J97" ca="1">SUM( Tracking[Amount] * (Tracking[Type]=cc_type) * (YEAR(Tracking[Effective Date])=selected_year) * (MONTH(Tracking[Effective Date])=cc_month_number) )</f>
        <v>0</v>
      </c>
      <c r="K97" s="79" cm="1">
        <f t="array" aca="1" ref="K97" ca="1">INDEX('Budget Planning'!$E:$EM, savings_total_row, MATCH(DATE(selected_year, cc_month_number, 1), 'Budget Planning'!$E$9:$EM$9, 0)  )</f>
        <v>0</v>
      </c>
      <c r="L97" s="79">
        <f ca="1">cc_budget-cc_tracked</f>
        <v>0</v>
      </c>
      <c r="M97" s="41">
        <f ca="1">cc_in_focus * cc_show_type * MIN(cc_tracked, cc_budget)</f>
        <v>0</v>
      </c>
      <c r="N97" s="41">
        <f ca="1">cc_in_focus * cc_show_type * cc_show_remaining_budget * IF(cc_delta&gt;0, cc_delta, 0)</f>
        <v>0</v>
      </c>
      <c r="O97" s="79">
        <f ca="1">cc_in_focus * cc_show_type * IF(cc_delta&lt;0, ABS(cc_delta), 0)</f>
        <v>0</v>
      </c>
      <c r="P97" s="41">
        <f ca="1">NOT(cc_in_focus) * cc_show_type * MIN(cc_tracked, cc_budget)</f>
        <v>0</v>
      </c>
      <c r="Q97" s="41">
        <f ca="1">NOT(cc_in_focus) * cc_show_type * cc_show_remaining_budget * IF(cc_delta&gt;0, cc_delta, 0)</f>
        <v>0</v>
      </c>
      <c r="R97" s="79">
        <f ca="1">NOT(cc_in_focus) * cc_show_type * IF(cc_delta&lt;0, ABS(cc_delta), 0)</f>
        <v>0</v>
      </c>
    </row>
    <row r="98" spans="4:18" x14ac:dyDescent="0.2">
      <c r="D98" s="98"/>
      <c r="E98" s="78"/>
      <c r="F98" s="78"/>
      <c r="G98" s="78"/>
      <c r="H98" s="78"/>
      <c r="I98" s="78"/>
      <c r="J98" s="82"/>
      <c r="K98" s="82"/>
      <c r="L98" s="82"/>
      <c r="M98" s="82"/>
      <c r="N98" s="82"/>
      <c r="O98" s="82"/>
      <c r="P98" s="82"/>
      <c r="Q98" s="82"/>
      <c r="R98" s="82"/>
    </row>
    <row r="99" spans="4:18" x14ac:dyDescent="0.2">
      <c r="D99" s="99">
        <f ca="1">DATE(selected_year, 12, 1)</f>
        <v>45992</v>
      </c>
      <c r="E99" s="77" t="s">
        <v>10</v>
      </c>
      <c r="F99" s="67">
        <f t="shared" ref="F99" ca="1" si="71">MONTH(D99)</f>
        <v>12</v>
      </c>
      <c r="G99" s="67">
        <f ca="1">IF(selected_period="Total Year", 1, IF(selected_period=cc_month_number, 1, 0))</f>
        <v>0</v>
      </c>
      <c r="H99" s="67">
        <f t="shared" ref="H99" si="72">1*$E$49</f>
        <v>1</v>
      </c>
      <c r="I99" s="67">
        <f t="shared" ref="I99" si="73">1*$E$52</f>
        <v>1</v>
      </c>
      <c r="J99" s="79" cm="1">
        <f t="array" aca="1" ref="J99" ca="1">SUM( Tracking[Amount] * (Tracking[Type]=cc_type) * (YEAR(Tracking[Effective Date])=selected_year) * (MONTH(Tracking[Effective Date])=cc_month_number) )</f>
        <v>0</v>
      </c>
      <c r="K99" s="79" cm="1">
        <f t="array" aca="1" ref="K99" ca="1">INDEX('Budget Planning'!$E:$EM, income_total_row, MATCH(DATE(selected_year, cc_month_number, 1), 'Budget Planning'!$E$9:$EM$9, 0)  )</f>
        <v>0</v>
      </c>
      <c r="L99" s="79">
        <f ca="1">cc_budget-cc_tracked</f>
        <v>0</v>
      </c>
      <c r="M99" s="41">
        <f ca="1">cc_in_focus * cc_show_type * MIN(cc_tracked, cc_budget)</f>
        <v>0</v>
      </c>
      <c r="N99" s="41">
        <f ca="1">cc_in_focus * cc_show_type * cc_show_remaining_budget * IF(cc_delta&gt;0, cc_delta, 0)</f>
        <v>0</v>
      </c>
      <c r="O99" s="79">
        <f ca="1">cc_in_focus * cc_show_type * IF(cc_delta&lt;0, ABS(cc_delta), 0)</f>
        <v>0</v>
      </c>
      <c r="P99" s="41">
        <f ca="1">NOT(cc_in_focus) * cc_show_type * MIN(cc_tracked, cc_budget)</f>
        <v>0</v>
      </c>
      <c r="Q99" s="41">
        <f ca="1">NOT(cc_in_focus) * cc_show_type * cc_show_remaining_budget * IF(cc_delta&gt;0, cc_delta, 0)</f>
        <v>0</v>
      </c>
      <c r="R99" s="79">
        <f ca="1">NOT(cc_in_focus) * cc_show_type * IF(cc_delta&lt;0, ABS(cc_delta), 0)</f>
        <v>0</v>
      </c>
    </row>
    <row r="100" spans="4:18" x14ac:dyDescent="0.2">
      <c r="D100" s="97"/>
      <c r="E100" s="67" t="s">
        <v>13</v>
      </c>
      <c r="F100" s="67">
        <f t="shared" ref="F100" ca="1" si="74">MONTH(D99)</f>
        <v>12</v>
      </c>
      <c r="G100" s="67">
        <f ca="1">IF(selected_period="Total Year", 1, IF(selected_period=cc_month_number, 1, 0))</f>
        <v>0</v>
      </c>
      <c r="H100" s="67">
        <f t="shared" ref="H100" si="75">1*$E$50</f>
        <v>1</v>
      </c>
      <c r="I100" s="67">
        <f t="shared" si="3"/>
        <v>1</v>
      </c>
      <c r="J100" s="79" cm="1">
        <f t="array" aca="1" ref="J100" ca="1">SUM( Tracking[Amount] * (Tracking[Type]=cc_type) * (YEAR(Tracking[Effective Date])=selected_year) * (MONTH(Tracking[Effective Date])=cc_month_number) )</f>
        <v>0</v>
      </c>
      <c r="K100" s="79" cm="1">
        <f t="array" aca="1" ref="K100" ca="1">INDEX('Budget Planning'!$E:$EM, expenses_total_row, MATCH(DATE(selected_year, cc_month_number, 1), 'Budget Planning'!$E$9:$EM$9, 0)  )</f>
        <v>0</v>
      </c>
      <c r="L100" s="79">
        <f ca="1">cc_budget-cc_tracked</f>
        <v>0</v>
      </c>
      <c r="M100" s="41">
        <f ca="1">cc_in_focus * cc_show_type * MIN(cc_tracked, cc_budget)</f>
        <v>0</v>
      </c>
      <c r="N100" s="41">
        <f ca="1">cc_in_focus * cc_show_type * cc_show_remaining_budget * IF(cc_delta&gt;0, cc_delta, 0)</f>
        <v>0</v>
      </c>
      <c r="O100" s="79">
        <f ca="1">cc_in_focus * cc_show_type * IF(cc_delta&lt;0, ABS(cc_delta), 0)</f>
        <v>0</v>
      </c>
      <c r="P100" s="41">
        <f ca="1">NOT(cc_in_focus) * cc_show_type * MIN(cc_tracked, cc_budget)</f>
        <v>0</v>
      </c>
      <c r="Q100" s="41">
        <f ca="1">NOT(cc_in_focus) * cc_show_type * cc_show_remaining_budget * IF(cc_delta&gt;0, cc_delta, 0)</f>
        <v>0</v>
      </c>
      <c r="R100" s="79">
        <f ca="1">NOT(cc_in_focus) * cc_show_type * IF(cc_delta&lt;0, ABS(cc_delta), 0)</f>
        <v>0</v>
      </c>
    </row>
    <row r="101" spans="4:18" x14ac:dyDescent="0.2">
      <c r="D101" s="97"/>
      <c r="E101" s="67" t="s">
        <v>15</v>
      </c>
      <c r="F101" s="67">
        <f t="shared" ref="F101" ca="1" si="76">MONTH(D99)</f>
        <v>12</v>
      </c>
      <c r="G101" s="67">
        <f ca="1">IF(selected_period="Total Year", 1, IF(selected_period=cc_month_number, 1, 0))</f>
        <v>0</v>
      </c>
      <c r="H101" s="67">
        <f t="shared" ref="H101" si="77">1*$E$51</f>
        <v>1</v>
      </c>
      <c r="I101" s="67">
        <f t="shared" si="3"/>
        <v>1</v>
      </c>
      <c r="J101" s="79" cm="1">
        <f t="array" aca="1" ref="J101" ca="1">SUM( Tracking[Amount] * (Tracking[Type]=cc_type) * (YEAR(Tracking[Effective Date])=selected_year) * (MONTH(Tracking[Effective Date])=cc_month_number) )</f>
        <v>0</v>
      </c>
      <c r="K101" s="79" cm="1">
        <f t="array" aca="1" ref="K101" ca="1">INDEX('Budget Planning'!$E:$EM, savings_total_row, MATCH(DATE(selected_year, cc_month_number, 1), 'Budget Planning'!$E$9:$EM$9, 0)  )</f>
        <v>0</v>
      </c>
      <c r="L101" s="79">
        <f ca="1">cc_budget-cc_tracked</f>
        <v>0</v>
      </c>
      <c r="M101" s="41">
        <f ca="1">cc_in_focus * cc_show_type * MIN(cc_tracked, cc_budget)</f>
        <v>0</v>
      </c>
      <c r="N101" s="41">
        <f ca="1">cc_in_focus * cc_show_type * cc_show_remaining_budget * IF(cc_delta&gt;0, cc_delta, 0)</f>
        <v>0</v>
      </c>
      <c r="O101" s="79">
        <f ca="1">cc_in_focus * cc_show_type * IF(cc_delta&lt;0, ABS(cc_delta), 0)</f>
        <v>0</v>
      </c>
      <c r="P101" s="41">
        <f ca="1">NOT(cc_in_focus) * cc_show_type * MIN(cc_tracked, cc_budget)</f>
        <v>0</v>
      </c>
      <c r="Q101" s="41">
        <f ca="1">NOT(cc_in_focus) * cc_show_type * cc_show_remaining_budget * IF(cc_delta&gt;0, cc_delta, 0)</f>
        <v>0</v>
      </c>
      <c r="R101" s="79">
        <f ca="1">NOT(cc_in_focus) * cc_show_type * IF(cc_delta&lt;0, ABS(cc_delta), 0)</f>
        <v>0</v>
      </c>
    </row>
    <row r="102" spans="4:18" x14ac:dyDescent="0.2">
      <c r="D102" s="98"/>
      <c r="E102" s="78"/>
      <c r="F102" s="78"/>
      <c r="G102" s="78"/>
      <c r="H102" s="78"/>
      <c r="I102" s="78"/>
      <c r="J102" s="82"/>
      <c r="K102" s="82"/>
      <c r="L102" s="82"/>
      <c r="M102" s="82"/>
      <c r="N102" s="82"/>
      <c r="O102" s="82"/>
      <c r="P102" s="82"/>
      <c r="Q102" s="82"/>
      <c r="R102" s="82"/>
    </row>
  </sheetData>
  <mergeCells count="16">
    <mergeCell ref="D99:D102"/>
    <mergeCell ref="D79:D82"/>
    <mergeCell ref="D83:D86"/>
    <mergeCell ref="D87:D90"/>
    <mergeCell ref="D91:D94"/>
    <mergeCell ref="D95:D98"/>
    <mergeCell ref="D59:D62"/>
    <mergeCell ref="D63:D66"/>
    <mergeCell ref="D67:D70"/>
    <mergeCell ref="D71:D74"/>
    <mergeCell ref="D75:D78"/>
    <mergeCell ref="C6:F6"/>
    <mergeCell ref="C17:F17"/>
    <mergeCell ref="M53:O53"/>
    <mergeCell ref="P53:R53"/>
    <mergeCell ref="D55:D58"/>
  </mergeCells>
  <phoneticPr fontId="2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9C25-AEE3-4409-8A64-3A268A026EF5}">
  <sheetPr>
    <tabColor theme="1"/>
  </sheetPr>
  <dimension ref="B1:E21"/>
  <sheetViews>
    <sheetView showGridLines="0" zoomScale="90" zoomScaleNormal="90" workbookViewId="0">
      <selection activeCell="E24" sqref="E24"/>
    </sheetView>
  </sheetViews>
  <sheetFormatPr defaultRowHeight="15" x14ac:dyDescent="0.2"/>
  <cols>
    <col min="1" max="1" width="5.51171875" customWidth="1"/>
    <col min="2" max="2" width="2.82421875" customWidth="1"/>
    <col min="3" max="3" width="18.83203125" customWidth="1"/>
    <col min="5" max="5" width="18.83203125" customWidth="1"/>
  </cols>
  <sheetData>
    <row r="1" spans="2:5" s="3" customFormat="1" ht="7.15" customHeight="1" x14ac:dyDescent="0.2"/>
    <row r="2" spans="2:5" s="3" customFormat="1" ht="27.6" customHeight="1" x14ac:dyDescent="0.35">
      <c r="B2" s="4" t="s">
        <v>4</v>
      </c>
    </row>
    <row r="3" spans="2:5" s="3" customFormat="1" ht="7.15" customHeight="1" x14ac:dyDescent="0.2"/>
    <row r="7" spans="2:5" x14ac:dyDescent="0.2">
      <c r="C7" s="43" t="s">
        <v>42</v>
      </c>
      <c r="E7" s="43" t="s">
        <v>44</v>
      </c>
    </row>
    <row r="8" spans="2:5" x14ac:dyDescent="0.2">
      <c r="C8" s="44" t="s">
        <v>43</v>
      </c>
      <c r="E8" s="44" t="s">
        <v>45</v>
      </c>
    </row>
    <row r="9" spans="2:5" x14ac:dyDescent="0.2">
      <c r="C9" s="44">
        <f>starting_year</f>
        <v>2022</v>
      </c>
      <c r="E9" s="44" t="s">
        <v>46</v>
      </c>
    </row>
    <row r="10" spans="2:5" x14ac:dyDescent="0.2">
      <c r="C10" s="44">
        <f>C9+1</f>
        <v>2023</v>
      </c>
      <c r="E10" s="46">
        <v>36526</v>
      </c>
    </row>
    <row r="11" spans="2:5" x14ac:dyDescent="0.2">
      <c r="C11" s="44">
        <f t="shared" ref="C11:C18" si="0">C10+1</f>
        <v>2024</v>
      </c>
      <c r="E11" s="46">
        <v>36557</v>
      </c>
    </row>
    <row r="12" spans="2:5" x14ac:dyDescent="0.2">
      <c r="C12" s="44">
        <f t="shared" si="0"/>
        <v>2025</v>
      </c>
      <c r="E12" s="46">
        <v>36586</v>
      </c>
    </row>
    <row r="13" spans="2:5" x14ac:dyDescent="0.2">
      <c r="C13" s="44">
        <f t="shared" si="0"/>
        <v>2026</v>
      </c>
      <c r="E13" s="46">
        <v>36617</v>
      </c>
    </row>
    <row r="14" spans="2:5" x14ac:dyDescent="0.2">
      <c r="C14" s="44">
        <f t="shared" si="0"/>
        <v>2027</v>
      </c>
      <c r="E14" s="46">
        <v>36647</v>
      </c>
    </row>
    <row r="15" spans="2:5" x14ac:dyDescent="0.2">
      <c r="C15" s="44">
        <f t="shared" si="0"/>
        <v>2028</v>
      </c>
      <c r="E15" s="46">
        <v>36678</v>
      </c>
    </row>
    <row r="16" spans="2:5" x14ac:dyDescent="0.2">
      <c r="C16" s="44">
        <f t="shared" si="0"/>
        <v>2029</v>
      </c>
      <c r="E16" s="46">
        <v>36708</v>
      </c>
    </row>
    <row r="17" spans="3:5" x14ac:dyDescent="0.2">
      <c r="C17" s="44">
        <f t="shared" si="0"/>
        <v>2030</v>
      </c>
      <c r="E17" s="46">
        <v>36739</v>
      </c>
    </row>
    <row r="18" spans="3:5" x14ac:dyDescent="0.2">
      <c r="C18" s="45">
        <f t="shared" si="0"/>
        <v>2031</v>
      </c>
      <c r="E18" s="46">
        <v>36770</v>
      </c>
    </row>
    <row r="19" spans="3:5" x14ac:dyDescent="0.2">
      <c r="E19" s="46">
        <v>36800</v>
      </c>
    </row>
    <row r="20" spans="3:5" x14ac:dyDescent="0.2">
      <c r="E20" s="46">
        <v>36831</v>
      </c>
    </row>
    <row r="21" spans="3:5" x14ac:dyDescent="0.2">
      <c r="E21" s="47">
        <v>36861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4" baseType="variant">
      <vt:variant>
        <vt:lpstr>Worksheets</vt:lpstr>
      </vt:variant>
      <vt:variant>
        <vt:i4>6</vt:i4>
      </vt:variant>
      <vt:variant>
        <vt:lpstr>Named Ranges</vt:lpstr>
      </vt:variant>
      <vt:variant>
        <vt:i4>39</vt:i4>
      </vt:variant>
    </vt:vector>
  </HeadingPairs>
  <TitlesOfParts>
    <vt:vector size="45" baseType="lpstr">
      <vt:lpstr>Settings</vt:lpstr>
      <vt:lpstr>Budget Planning</vt:lpstr>
      <vt:lpstr>Budget Tracking</vt:lpstr>
      <vt:lpstr>Budget Dashboard</vt:lpstr>
      <vt:lpstr>Calculations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savings_rate_calculation_type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Office Lab</dc:creator>
  <cp:lastModifiedBy>Marco Seidler</cp:lastModifiedBy>
  <dcterms:created xsi:type="dcterms:W3CDTF">2022-05-26T05:51:39Z</dcterms:created>
  <dcterms:modified xsi:type="dcterms:W3CDTF">2023-01-25T13:55:07Z</dcterms:modified>
</cp:coreProperties>
</file>